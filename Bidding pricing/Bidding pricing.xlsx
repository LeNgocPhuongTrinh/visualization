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CTC\0. Overview\Phan tich\"/>
    </mc:Choice>
  </mc:AlternateContent>
  <xr:revisionPtr revIDLastSave="0" documentId="13_ncr:1_{574B6CFF-892F-45B2-BBFF-D3DA3CD1E876}" xr6:coauthVersionLast="47" xr6:coauthVersionMax="47" xr10:uidLastSave="{00000000-0000-0000-0000-000000000000}"/>
  <bookViews>
    <workbookView xWindow="-108" yWindow="-108" windowWidth="23256" windowHeight="12576" tabRatio="698" firstSheet="1" activeTab="6" xr2:uid="{819FE0EA-A6F9-4BEE-A51B-3919FC77AEBD}"/>
  </bookViews>
  <sheets>
    <sheet name="Item" sheetId="1" state="hidden" r:id="rId1"/>
    <sheet name="Master data - Item" sheetId="5" r:id="rId2"/>
    <sheet name="Item Characteristic" sheetId="6" r:id="rId3"/>
    <sheet name="Master data - Vendor" sheetId="8" r:id="rId4"/>
    <sheet name="Master data - Project" sheetId="4" r:id="rId5"/>
    <sheet name="Project Material" sheetId="2" r:id="rId6"/>
    <sheet name="Overview Item Price" sheetId="3" r:id="rId7"/>
    <sheet name="Bieu mau so sanh du an" sheetId="10" r:id="rId8"/>
    <sheet name="Phan tich" sheetId="11" r:id="rId9"/>
  </sheets>
  <externalReferences>
    <externalReference r:id="rId10"/>
  </externalReferences>
  <definedNames>
    <definedName name="_xlnm._FilterDatabase" localSheetId="1" hidden="1">'Master data - Item'!$A$3:$AL$60</definedName>
    <definedName name="_xlnm._FilterDatabase" localSheetId="4" hidden="1">'Master data - Project'!$A$3:$E$13</definedName>
    <definedName name="_xlnm._FilterDatabase" localSheetId="3" hidden="1">'Master data - Vendor'!$A$3:$T$18</definedName>
    <definedName name="_xlnm._FilterDatabase" localSheetId="6" hidden="1">'Overview Item Price'!$A$2:$L$364</definedName>
    <definedName name="hodau">'[1]Material HT'!$E$23</definedName>
    <definedName name="motar100">'[1]Material HT'!$E$16</definedName>
    <definedName name="pi">[1]Sheet3!$G$118</definedName>
    <definedName name="_xlnm.Print_Area" localSheetId="7">'Bieu mau so sanh du an'!$B$1:$T$18</definedName>
    <definedName name="_xlnm.Print_Area" localSheetId="3">'Master data - Vendor'!$A$1:$T$16</definedName>
    <definedName name="_xlnm.Print_Titles" localSheetId="7">'Bieu mau so sanh du an'!$5:$6</definedName>
    <definedName name="_xlnm.Print_Titles" localSheetId="3">'Master data - Vendor'!$3:$3</definedName>
    <definedName name="usd" localSheetId="7">#REF!</definedName>
    <definedName name="usd">#REF!</definedName>
    <definedName name="vk">'[1]Material KC'!$C$37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2" i="10" l="1"/>
  <c r="R11" i="10"/>
  <c r="R10" i="10"/>
  <c r="O12" i="10"/>
  <c r="O11" i="10"/>
  <c r="O10" i="10"/>
  <c r="L12" i="10"/>
  <c r="L11" i="10"/>
  <c r="L10" i="10"/>
  <c r="M14" i="10"/>
  <c r="S12" i="10"/>
  <c r="P12" i="10"/>
  <c r="M12" i="10"/>
  <c r="G12" i="10"/>
  <c r="S11" i="10"/>
  <c r="P11" i="10"/>
  <c r="P14" i="10" s="1"/>
  <c r="M11" i="10"/>
  <c r="G11" i="10"/>
  <c r="S10" i="10"/>
  <c r="P10" i="10"/>
  <c r="M10" i="10"/>
  <c r="G10" i="10"/>
  <c r="G14" i="10" l="1"/>
  <c r="M15" i="10" s="1"/>
  <c r="M16" i="10" s="1"/>
  <c r="S14" i="10"/>
  <c r="S15" i="10" s="1"/>
  <c r="S16" i="10" s="1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84" i="3"/>
  <c r="D83" i="3"/>
  <c r="D82" i="3"/>
  <c r="D81" i="3"/>
  <c r="D80" i="3"/>
  <c r="D79" i="3"/>
  <c r="D359" i="3"/>
  <c r="D358" i="3"/>
  <c r="D355" i="3"/>
  <c r="D354" i="3"/>
  <c r="D351" i="3"/>
  <c r="D350" i="3"/>
  <c r="D364" i="3"/>
  <c r="D363" i="3"/>
  <c r="D362" i="3"/>
  <c r="D361" i="3"/>
  <c r="D360" i="3"/>
  <c r="D357" i="3"/>
  <c r="D356" i="3"/>
  <c r="D353" i="3"/>
  <c r="D352" i="3"/>
  <c r="D349" i="3"/>
  <c r="D348" i="3"/>
  <c r="D347" i="3"/>
  <c r="D346" i="3"/>
  <c r="D345" i="3"/>
  <c r="D344" i="3"/>
  <c r="P15" i="10" l="1"/>
  <c r="P16" i="10" s="1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 l="1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5" i="3"/>
  <c r="D316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7" i="3"/>
  <c r="D298" i="3"/>
  <c r="D294" i="3"/>
  <c r="D295" i="3"/>
  <c r="D296" i="3"/>
  <c r="D293" i="3"/>
  <c r="D292" i="3"/>
  <c r="D291" i="3"/>
  <c r="D290" i="3"/>
  <c r="D289" i="3"/>
  <c r="D286" i="3"/>
  <c r="D287" i="3"/>
  <c r="D288" i="3"/>
  <c r="D285" i="3"/>
  <c r="D86" i="3" l="1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85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3" i="3"/>
</calcChain>
</file>

<file path=xl/sharedStrings.xml><?xml version="1.0" encoding="utf-8"?>
<sst xmlns="http://schemas.openxmlformats.org/spreadsheetml/2006/main" count="3198" uniqueCount="430">
  <si>
    <t>Thương hiệu</t>
  </si>
  <si>
    <t>Kích thước</t>
  </si>
  <si>
    <t>Đặc tính vật lý của Item</t>
  </si>
  <si>
    <t>Item code</t>
  </si>
  <si>
    <t>Item des</t>
  </si>
  <si>
    <t>CC21-02</t>
  </si>
  <si>
    <t>CN21-03</t>
  </si>
  <si>
    <t>CN21-11</t>
  </si>
  <si>
    <t>CS21-07</t>
  </si>
  <si>
    <t>CS21-18</t>
  </si>
  <si>
    <t>Quang Nam</t>
  </si>
  <si>
    <t>Central</t>
  </si>
  <si>
    <t>Ha Noi</t>
  </si>
  <si>
    <t>Northern</t>
  </si>
  <si>
    <t>Southerm</t>
  </si>
  <si>
    <t>Binh Duong</t>
  </si>
  <si>
    <t>ĐVT 1</t>
  </si>
  <si>
    <t>X1</t>
  </si>
  <si>
    <t>Y1</t>
  </si>
  <si>
    <t>ĐVT 2</t>
  </si>
  <si>
    <t>X2</t>
  </si>
  <si>
    <t>Y2</t>
  </si>
  <si>
    <t>ĐVT 3</t>
  </si>
  <si>
    <t>X3</t>
  </si>
  <si>
    <t>Y3</t>
  </si>
  <si>
    <t>ĐVT 4</t>
  </si>
  <si>
    <t>X4</t>
  </si>
  <si>
    <t>Y4</t>
  </si>
  <si>
    <t>10000000</t>
  </si>
  <si>
    <t>Xi măng</t>
  </si>
  <si>
    <t>Ximang</t>
  </si>
  <si>
    <t>Z</t>
  </si>
  <si>
    <t>KG</t>
  </si>
  <si>
    <t>BAO</t>
  </si>
  <si>
    <t>TAN</t>
  </si>
  <si>
    <t xml:space="preserve">NORM </t>
  </si>
  <si>
    <t>02</t>
  </si>
  <si>
    <t>X</t>
  </si>
  <si>
    <t>V10</t>
  </si>
  <si>
    <t>11000052</t>
  </si>
  <si>
    <t>Gachxay</t>
  </si>
  <si>
    <t>VIE</t>
  </si>
  <si>
    <t>V11</t>
  </si>
  <si>
    <t>11000053</t>
  </si>
  <si>
    <t>11000054</t>
  </si>
  <si>
    <t>11000055</t>
  </si>
  <si>
    <t>11000056</t>
  </si>
  <si>
    <t>11000057</t>
  </si>
  <si>
    <t>11000058</t>
  </si>
  <si>
    <t>11000059</t>
  </si>
  <si>
    <t>11000060</t>
  </si>
  <si>
    <t>11000061</t>
  </si>
  <si>
    <t>11000062</t>
  </si>
  <si>
    <t>11000063</t>
  </si>
  <si>
    <t>11000064</t>
  </si>
  <si>
    <t>11000065</t>
  </si>
  <si>
    <t>11000066</t>
  </si>
  <si>
    <t>11000067</t>
  </si>
  <si>
    <t>11000068</t>
  </si>
  <si>
    <t>11000069</t>
  </si>
  <si>
    <t>11000070</t>
  </si>
  <si>
    <t>11000071</t>
  </si>
  <si>
    <t>11000072</t>
  </si>
  <si>
    <t>11000073</t>
  </si>
  <si>
    <t>11000074</t>
  </si>
  <si>
    <t>11000075</t>
  </si>
  <si>
    <t>11000076</t>
  </si>
  <si>
    <t>11000077</t>
  </si>
  <si>
    <t>11000078</t>
  </si>
  <si>
    <t>11000079</t>
  </si>
  <si>
    <t>11000080</t>
  </si>
  <si>
    <t>11000081</t>
  </si>
  <si>
    <t>11000082</t>
  </si>
  <si>
    <t>11000083</t>
  </si>
  <si>
    <t>11000084</t>
  </si>
  <si>
    <t>11000085</t>
  </si>
  <si>
    <t>11000086</t>
  </si>
  <si>
    <t>11000087</t>
  </si>
  <si>
    <t>11000088</t>
  </si>
  <si>
    <t>11000089</t>
  </si>
  <si>
    <t>11000090</t>
  </si>
  <si>
    <t>11000091</t>
  </si>
  <si>
    <t>11000092</t>
  </si>
  <si>
    <t>11000093</t>
  </si>
  <si>
    <t>11000094</t>
  </si>
  <si>
    <t>11000095</t>
  </si>
  <si>
    <t>Mác gạch</t>
  </si>
  <si>
    <t>M50</t>
  </si>
  <si>
    <t>M75</t>
  </si>
  <si>
    <t>M100</t>
  </si>
  <si>
    <t>None</t>
  </si>
  <si>
    <t>BMC</t>
  </si>
  <si>
    <t>MC</t>
  </si>
  <si>
    <t>Chuẩn</t>
  </si>
  <si>
    <t>PCB40</t>
  </si>
  <si>
    <t>PCB30</t>
  </si>
  <si>
    <t>PC30</t>
  </si>
  <si>
    <t>MC25</t>
  </si>
  <si>
    <t>Màu</t>
  </si>
  <si>
    <t>Trắng</t>
  </si>
  <si>
    <t>Xám</t>
  </si>
  <si>
    <t>Local</t>
  </si>
  <si>
    <t>VND</t>
  </si>
  <si>
    <t>VAT10</t>
  </si>
  <si>
    <t>Southern</t>
  </si>
  <si>
    <t>SEARCH NAME</t>
  </si>
  <si>
    <t>PRODUCT RANGE</t>
  </si>
  <si>
    <t>BRAND PRODUCT</t>
  </si>
  <si>
    <t>TAX NUMBER</t>
  </si>
  <si>
    <t>PAYMENT TERM</t>
  </si>
  <si>
    <t>REGION</t>
  </si>
  <si>
    <t>NOTE</t>
  </si>
  <si>
    <t>SI-00951</t>
  </si>
  <si>
    <t>106080</t>
  </si>
  <si>
    <t>SI-05994</t>
  </si>
  <si>
    <t>101177</t>
  </si>
  <si>
    <t>SI-01058</t>
  </si>
  <si>
    <t>101490</t>
  </si>
  <si>
    <t>SI-00827</t>
  </si>
  <si>
    <t>108061</t>
  </si>
  <si>
    <t>SI-00423</t>
  </si>
  <si>
    <t>100575</t>
  </si>
  <si>
    <t>SI-00489</t>
  </si>
  <si>
    <t>104420</t>
  </si>
  <si>
    <t>SI-06460</t>
  </si>
  <si>
    <t>106770</t>
  </si>
  <si>
    <t>SI-01359</t>
  </si>
  <si>
    <t>104092</t>
  </si>
  <si>
    <t>SI-09016</t>
  </si>
  <si>
    <t>108190</t>
  </si>
  <si>
    <t>SI-00883</t>
  </si>
  <si>
    <t>105782</t>
  </si>
  <si>
    <t>SI-00776</t>
  </si>
  <si>
    <t>101998</t>
  </si>
  <si>
    <t>SI-03062</t>
  </si>
  <si>
    <t>107154</t>
  </si>
  <si>
    <t>SI-02059</t>
  </si>
  <si>
    <t>107685</t>
  </si>
  <si>
    <t>SI-05583</t>
  </si>
  <si>
    <t>OLD MATERIAL NUMBER</t>
  </si>
  <si>
    <t>MATERIAL CODE</t>
  </si>
  <si>
    <t>MATERIAL DESCRIPTION</t>
  </si>
  <si>
    <t>MATERIAL LONG DESCRIPTION</t>
  </si>
  <si>
    <t>CLASS</t>
  </si>
  <si>
    <t>INDUSTRY SECTOR</t>
  </si>
  <si>
    <t>MATERIAL TYPE</t>
  </si>
  <si>
    <t>PLANT</t>
  </si>
  <si>
    <t>DISTRIBUTION CHANNEL</t>
  </si>
  <si>
    <t>DIVISION</t>
  </si>
  <si>
    <t>BASE UNIT OF MEASURE</t>
  </si>
  <si>
    <t>GROSS WEIGHT</t>
  </si>
  <si>
    <t>WEIGHT UNIT</t>
  </si>
  <si>
    <t>NET WEIGHT</t>
  </si>
  <si>
    <t>MATERIAL GROUP</t>
  </si>
  <si>
    <t>SIZE/DIMENSION</t>
  </si>
  <si>
    <t>SALES UNIT</t>
  </si>
  <si>
    <t>TAX CLASSIFICATION MATERIAL</t>
  </si>
  <si>
    <t>ACCOUNT ASSIGNMENT GROUP FOR THIS MATERIAL</t>
  </si>
  <si>
    <t>ITEM CATEGORY GROUP</t>
  </si>
  <si>
    <t>CHECKING GROUP FOR AVAILABILITY CHECK</t>
  </si>
  <si>
    <t>BATCH MANAGEMENT REQUIREMENT INDICATOR</t>
  </si>
  <si>
    <t>ORDER UNIT</t>
  </si>
  <si>
    <t>PURCHASING GROUP</t>
  </si>
  <si>
    <t>VALUATION CLASS</t>
  </si>
  <si>
    <t>NO</t>
  </si>
  <si>
    <t>VENDOR VN NAME</t>
  </si>
  <si>
    <t>VENDOR EN NAME</t>
  </si>
  <si>
    <t>PRODUCT GROUP</t>
  </si>
  <si>
    <t>BRAVO VENDOR CODE</t>
  </si>
  <si>
    <t>SALES ORGANAZATION</t>
  </si>
  <si>
    <t>T01</t>
  </si>
  <si>
    <t>T02</t>
  </si>
  <si>
    <t>T03</t>
  </si>
  <si>
    <t>PROJECT CODE</t>
  </si>
  <si>
    <t>PROJECT DESCRIPTION</t>
  </si>
  <si>
    <t>ADDRESS NAME</t>
  </si>
  <si>
    <t>SALES TAX GROUP</t>
  </si>
  <si>
    <t>CURRENCY</t>
  </si>
  <si>
    <t>VENDOR GROUP</t>
  </si>
  <si>
    <t>METHOD OF PAYMENT</t>
  </si>
  <si>
    <t>DELIVERY TERM</t>
  </si>
  <si>
    <t>DELIVERY METHOD</t>
  </si>
  <si>
    <t>ADDRESS</t>
  </si>
  <si>
    <t>CITY</t>
  </si>
  <si>
    <t>CHARACTERISTIC SCOPE</t>
  </si>
  <si>
    <t>CHARACTERISTIC DESCRIPTION CODE</t>
  </si>
  <si>
    <t>CHARACTERISTIC DESCRIPTION</t>
  </si>
  <si>
    <t>CHARACTERISTIC VALUE CODE</t>
  </si>
  <si>
    <t>CHARACTERISTIC VALUE</t>
  </si>
  <si>
    <t xml:space="preserve">VENDOR CODE </t>
  </si>
  <si>
    <t>BRAND NAME</t>
  </si>
  <si>
    <t>UNIT</t>
  </si>
  <si>
    <t>QUANTITY</t>
  </si>
  <si>
    <t>BOQ PRICE</t>
  </si>
  <si>
    <t>BOQ AMOUNT</t>
  </si>
  <si>
    <t>SPECIFICATION</t>
  </si>
  <si>
    <t>SCOPE TIMELINE - START</t>
  </si>
  <si>
    <t>SCOPE TIMELINE - END</t>
  </si>
  <si>
    <t>APPROVED PRICE</t>
  </si>
  <si>
    <t>PRICE</t>
  </si>
  <si>
    <t>FULL SPECIFICATION</t>
  </si>
  <si>
    <t>VALID FROM</t>
  </si>
  <si>
    <t>VALID TO</t>
  </si>
  <si>
    <t>FREQUENCY TESTING</t>
  </si>
  <si>
    <t>No</t>
  </si>
  <si>
    <t>Yes</t>
  </si>
  <si>
    <t>BRAND</t>
  </si>
  <si>
    <t>Xu hướng giá</t>
  </si>
  <si>
    <t>theo cấp độ</t>
  </si>
  <si>
    <t>Ngưng sản xuất từ 01/01/2022</t>
  </si>
  <si>
    <t>CN19-06</t>
  </si>
  <si>
    <t>CN19-09</t>
  </si>
  <si>
    <t>CN20-01</t>
  </si>
  <si>
    <t>CS19-01</t>
  </si>
  <si>
    <t>CS20-06</t>
  </si>
  <si>
    <t>TPHCM</t>
  </si>
  <si>
    <t>Cả nước</t>
  </si>
  <si>
    <t>Miền (Bắc, Trung, Nam)</t>
  </si>
  <si>
    <t>Tình thành</t>
  </si>
  <si>
    <t>CD</t>
  </si>
  <si>
    <t>DN</t>
  </si>
  <si>
    <t>MH</t>
  </si>
  <si>
    <t>VK</t>
  </si>
  <si>
    <t>HT</t>
  </si>
  <si>
    <t>HK</t>
  </si>
  <si>
    <t>TY</t>
  </si>
  <si>
    <t>LT</t>
  </si>
  <si>
    <t>KT</t>
  </si>
  <si>
    <t>DH</t>
  </si>
  <si>
    <t>LA</t>
  </si>
  <si>
    <t>QT</t>
  </si>
  <si>
    <t>GT</t>
  </si>
  <si>
    <t>AMC</t>
  </si>
  <si>
    <t>PA</t>
  </si>
  <si>
    <t>TQ</t>
  </si>
  <si>
    <t>BL</t>
  </si>
  <si>
    <t>NH</t>
  </si>
  <si>
    <t>MX</t>
  </si>
  <si>
    <t>CDC</t>
  </si>
  <si>
    <t>TL</t>
  </si>
  <si>
    <t>TD</t>
  </si>
  <si>
    <t>LN</t>
  </si>
  <si>
    <t>AH</t>
  </si>
  <si>
    <t>DHG</t>
  </si>
  <si>
    <t>XH</t>
  </si>
  <si>
    <t>TC</t>
  </si>
  <si>
    <t>TUBD</t>
  </si>
  <si>
    <t>DHP</t>
  </si>
  <si>
    <t>VDN</t>
  </si>
  <si>
    <t>SKDD</t>
  </si>
  <si>
    <t>BCS</t>
  </si>
  <si>
    <t>CIC</t>
  </si>
  <si>
    <t>TT</t>
  </si>
  <si>
    <t>VN</t>
  </si>
  <si>
    <t>PC</t>
  </si>
  <si>
    <t>NS</t>
  </si>
  <si>
    <t>PS</t>
  </si>
  <si>
    <t>BS</t>
  </si>
  <si>
    <t>SG</t>
  </si>
  <si>
    <t>KD</t>
  </si>
  <si>
    <t>IS</t>
  </si>
  <si>
    <t>KL</t>
  </si>
  <si>
    <t>VC</t>
  </si>
  <si>
    <t>CF</t>
  </si>
  <si>
    <t>HTH</t>
  </si>
  <si>
    <t>CP</t>
  </si>
  <si>
    <t>XT</t>
  </si>
  <si>
    <t>HL</t>
  </si>
  <si>
    <t>VS</t>
  </si>
  <si>
    <t>FCBD</t>
  </si>
  <si>
    <t>VCHL</t>
  </si>
  <si>
    <t>VCHT1</t>
  </si>
  <si>
    <t>VCHXT</t>
  </si>
  <si>
    <t>VCHTDD</t>
  </si>
  <si>
    <t>HTKG</t>
  </si>
  <si>
    <t>HS</t>
  </si>
  <si>
    <t>SGA</t>
  </si>
  <si>
    <t>HTN</t>
  </si>
  <si>
    <t>DHA</t>
  </si>
  <si>
    <t>TTG</t>
  </si>
  <si>
    <t>TLG</t>
  </si>
  <si>
    <t>DHO</t>
  </si>
  <si>
    <t>LTH</t>
  </si>
  <si>
    <t>Gạch nung 11000052</t>
  </si>
  <si>
    <t>Gạch nung 11000053</t>
  </si>
  <si>
    <t>Gạch nung 11000054</t>
  </si>
  <si>
    <t>Gạch nung 11000055</t>
  </si>
  <si>
    <t>Gạch nung 11000056</t>
  </si>
  <si>
    <t>Gạch nung 11000057</t>
  </si>
  <si>
    <t>Gạch nung 11000687</t>
  </si>
  <si>
    <t>Gạch nung 11000688</t>
  </si>
  <si>
    <t>Gạch nung 11000058</t>
  </si>
  <si>
    <t>Gạch nung 11000059</t>
  </si>
  <si>
    <t>Gạch nung 11000060</t>
  </si>
  <si>
    <t>Gạch nung 11000689</t>
  </si>
  <si>
    <t>Gạch nung 11000061</t>
  </si>
  <si>
    <t>Gạch nung 11000062</t>
  </si>
  <si>
    <t>Gạch nung 11000063</t>
  </si>
  <si>
    <t>Gạch nung 11000064</t>
  </si>
  <si>
    <t>Gạch nung 11000065</t>
  </si>
  <si>
    <t>Gạch nung 11000066</t>
  </si>
  <si>
    <t>Gạch nung 11000067</t>
  </si>
  <si>
    <t>Gạch nung 11000068</t>
  </si>
  <si>
    <t>Gạch nung 11000069</t>
  </si>
  <si>
    <t>Gạch nung 11000070</t>
  </si>
  <si>
    <t>Gạch nung 11000071</t>
  </si>
  <si>
    <t>Gạch nung 11000072</t>
  </si>
  <si>
    <t>Gạch XMCL 11000073</t>
  </si>
  <si>
    <t>Gạch XMCL 11000074</t>
  </si>
  <si>
    <t>Gạch XMCL 11000075</t>
  </si>
  <si>
    <t>Gạch XMCL 11000076</t>
  </si>
  <si>
    <t>Gạch XMCL 11000077</t>
  </si>
  <si>
    <t>Gạch XMCL 11000078</t>
  </si>
  <si>
    <t>Gạch XMCL 11000693</t>
  </si>
  <si>
    <t>Gạch XMCL 11000694</t>
  </si>
  <si>
    <t>Gạch XMCL 11000079</t>
  </si>
  <si>
    <t>Gạch XMCL 11000080</t>
  </si>
  <si>
    <t>Gạch XMCL 11000081</t>
  </si>
  <si>
    <t>Gạch XMCL 11000082</t>
  </si>
  <si>
    <t>Gạch XMCL 11000083</t>
  </si>
  <si>
    <t>Gạch XMCL 11000084</t>
  </si>
  <si>
    <t>Gạch XMCL 11000085</t>
  </si>
  <si>
    <t>Gạch XMCL 11000086</t>
  </si>
  <si>
    <t>Gạch XMCL 11000087</t>
  </si>
  <si>
    <t>Gạch XMCL 11000088</t>
  </si>
  <si>
    <t>Gạch XMCL 11000089</t>
  </si>
  <si>
    <t>Gạch XMCL 11000090</t>
  </si>
  <si>
    <t>Gạch XMCL 11000091</t>
  </si>
  <si>
    <t>Gạch XMCL 11000092</t>
  </si>
  <si>
    <t>Gạch XMCL 11000093</t>
  </si>
  <si>
    <t>Gạch XMCL 11000094</t>
  </si>
  <si>
    <t>Gạch XMCL 11000095</t>
  </si>
  <si>
    <t>Gạch XMCL 11000670</t>
  </si>
  <si>
    <t>Gạch XMCL 11000671</t>
  </si>
  <si>
    <t>Gạch XMCL 11000696</t>
  </si>
  <si>
    <t>Gạch XMCL 11000697</t>
  </si>
  <si>
    <t>Gạch XMCL 11000698</t>
  </si>
  <si>
    <t>Gạch XMCL 11000699</t>
  </si>
  <si>
    <t>Gạch XMCL 11000725</t>
  </si>
  <si>
    <t>SI-0</t>
  </si>
  <si>
    <t>New001</t>
  </si>
  <si>
    <t>New002</t>
  </si>
  <si>
    <t>New003</t>
  </si>
  <si>
    <t>New004</t>
  </si>
  <si>
    <t>New005</t>
  </si>
  <si>
    <t>New006</t>
  </si>
  <si>
    <t>New007</t>
  </si>
  <si>
    <t>New008</t>
  </si>
  <si>
    <t>New009</t>
  </si>
  <si>
    <t>New010</t>
  </si>
  <si>
    <t>New011</t>
  </si>
  <si>
    <t>New012</t>
  </si>
  <si>
    <t>Dự án CC21-02</t>
  </si>
  <si>
    <t>Dự án CN21-03</t>
  </si>
  <si>
    <t>Dự án CN21-11</t>
  </si>
  <si>
    <t>Dự án CS21-07</t>
  </si>
  <si>
    <t>Dự án CS21-18</t>
  </si>
  <si>
    <t>Dự án CN19-06</t>
  </si>
  <si>
    <t>Dự án CN19-09</t>
  </si>
  <si>
    <t>Dự án CN20-01</t>
  </si>
  <si>
    <t>Dự án CS19-01</t>
  </si>
  <si>
    <t>Dự án CS20-06</t>
  </si>
  <si>
    <t>Công ty TNHH SI-00951</t>
  </si>
  <si>
    <t>Công ty TNHH SI-05994</t>
  </si>
  <si>
    <t>Công ty TNHH SI-01058</t>
  </si>
  <si>
    <t>Công ty TNHH SI-00827</t>
  </si>
  <si>
    <t>Công ty TNHH SI-00423</t>
  </si>
  <si>
    <t>Công ty TNHH SI-00489</t>
  </si>
  <si>
    <t>Công ty TNHH SI-06460</t>
  </si>
  <si>
    <t>Công ty TNHH SI-01359</t>
  </si>
  <si>
    <t>Công ty TNHH SI-09016</t>
  </si>
  <si>
    <t>Công ty TNHH SI-00883</t>
  </si>
  <si>
    <t>Công ty TNHH SI-00776</t>
  </si>
  <si>
    <t>Công ty TNHH SI-03062</t>
  </si>
  <si>
    <t>Công ty TNHH SI-02059</t>
  </si>
  <si>
    <t>Công ty TNHH SI-05583</t>
  </si>
  <si>
    <t>Công ty TNHH SI-0</t>
  </si>
  <si>
    <r>
      <t xml:space="preserve">Công trình - </t>
    </r>
    <r>
      <rPr>
        <i/>
        <sz val="12"/>
        <rFont val="Times New Roman"/>
        <family val="1"/>
      </rPr>
      <t>Project:</t>
    </r>
    <r>
      <rPr>
        <sz val="12"/>
        <rFont val="Times New Roman"/>
        <family val="1"/>
      </rPr>
      <t xml:space="preserve"> </t>
    </r>
  </si>
  <si>
    <r>
      <t>Hạng mục -</t>
    </r>
    <r>
      <rPr>
        <i/>
        <sz val="12"/>
        <rFont val="Times New Roman"/>
        <family val="1"/>
      </rPr>
      <t xml:space="preserve"> Package: </t>
    </r>
  </si>
  <si>
    <t>Ngày - Date:</t>
  </si>
  <si>
    <r>
      <t>BẢNG TỔNG HỢP ĐÁNH GIÁ LỰA CHỌN NCC -</t>
    </r>
    <r>
      <rPr>
        <b/>
        <i/>
        <sz val="14"/>
        <rFont val="Times New Roman"/>
        <family val="1"/>
      </rPr>
      <t xml:space="preserve"> SUMMARY OF SUPPLIER APPROVAL</t>
    </r>
  </si>
  <si>
    <t>STT
No</t>
  </si>
  <si>
    <r>
      <t xml:space="preserve">Diễn giải
</t>
    </r>
    <r>
      <rPr>
        <b/>
        <i/>
        <sz val="12"/>
        <rFont val="Times New Roman"/>
        <family val="1"/>
      </rPr>
      <t>Description</t>
    </r>
  </si>
  <si>
    <r>
      <t xml:space="preserve">Đơn vị 
</t>
    </r>
    <r>
      <rPr>
        <b/>
        <i/>
        <sz val="12"/>
        <rFont val="Times New Roman"/>
        <family val="1"/>
      </rPr>
      <t>Unit</t>
    </r>
  </si>
  <si>
    <r>
      <t xml:space="preserve">Khối lượng
</t>
    </r>
    <r>
      <rPr>
        <b/>
        <i/>
        <sz val="12"/>
        <rFont val="Times New Roman"/>
        <family val="1"/>
      </rPr>
      <t>Quantity</t>
    </r>
  </si>
  <si>
    <t>Giá gốc  - BoQ</t>
  </si>
  <si>
    <t>Đối tác 1 - Supplier 1</t>
  </si>
  <si>
    <t>Đối tác 2 - Supplier 2</t>
  </si>
  <si>
    <t>Đối tác 3 - Supplier 3</t>
  </si>
  <si>
    <t>Ghi chú
Remark</t>
  </si>
  <si>
    <r>
      <t xml:space="preserve">Đơn giá
</t>
    </r>
    <r>
      <rPr>
        <b/>
        <i/>
        <sz val="12"/>
        <rFont val="Times New Roman"/>
        <family val="1"/>
      </rPr>
      <t>Price</t>
    </r>
  </si>
  <si>
    <r>
      <t xml:space="preserve">Thành tiền
</t>
    </r>
    <r>
      <rPr>
        <b/>
        <i/>
        <sz val="12"/>
        <rFont val="Times New Roman"/>
        <family val="1"/>
      </rPr>
      <t>Value (Excl.VAT)</t>
    </r>
  </si>
  <si>
    <t>Thành tiền
Value (Excl.VAT)</t>
  </si>
  <si>
    <t>(6)=(4)*(5)</t>
  </si>
  <si>
    <t>(8)=(4)*(7)</t>
  </si>
  <si>
    <t>(10)=(4)*(9)</t>
  </si>
  <si>
    <t>(12)=(4)*(11)</t>
  </si>
  <si>
    <t>A</t>
  </si>
  <si>
    <t>SO SÁNH GIÁ - PRICE COMPARISION</t>
  </si>
  <si>
    <t>I</t>
  </si>
  <si>
    <t xml:space="preserve">Hạng mục công việc - Work </t>
  </si>
  <si>
    <t>Vật tư 1 - Item 1</t>
  </si>
  <si>
    <t>m2</t>
  </si>
  <si>
    <t>Vật tư 2 - Item 2</t>
  </si>
  <si>
    <t>Vật tư 3- Item 3</t>
  </si>
  <si>
    <t>m</t>
  </si>
  <si>
    <t>…</t>
  </si>
  <si>
    <t>Tổng cộng - Total (Excluded VAT)</t>
  </si>
  <si>
    <t>Chênh lệch so với giá trị gốc - BOQ comparision</t>
  </si>
  <si>
    <t>Hiệu quả so với giá trị gốc - Effectiveness (%)</t>
  </si>
  <si>
    <t>Họ tên - Name:
Ngày tháng - Date:</t>
  </si>
  <si>
    <t>þ</t>
  </si>
  <si>
    <t>¨</t>
  </si>
  <si>
    <t>Đơn giá lần 1
Price</t>
  </si>
  <si>
    <t>Đơn giá lần 2
Price</t>
  </si>
  <si>
    <t>Bộ phận A</t>
  </si>
  <si>
    <t>Bộ phận B</t>
  </si>
  <si>
    <t>Bộ phận C</t>
  </si>
  <si>
    <t>Bộ phận D</t>
  </si>
  <si>
    <t>So sánh giá dự án</t>
  </si>
  <si>
    <t>Ngành hàng</t>
  </si>
  <si>
    <t>So sánh giá</t>
  </si>
  <si>
    <t>Có biểu mẫu</t>
  </si>
  <si>
    <t>Power BI</t>
  </si>
  <si>
    <t>Dự báo</t>
  </si>
  <si>
    <t>Dự án cũ tham khảo</t>
  </si>
  <si>
    <t>Dự án 1</t>
  </si>
  <si>
    <t>Dự án 2</t>
  </si>
  <si>
    <t>Dự án 3</t>
  </si>
  <si>
    <t>Ngày duyệt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</si>
</sst>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dd\-mmm\-yy;@"/>
    <numFmt numFmtId="167" formatCode="[$-1010000]d/m/yyyy;@"/>
    <numFmt numFmtId="168" formatCode="[$-409]d\-mmm\-yy;@"/>
    <numFmt numFmtId="169" formatCode="\(0\)"/>
    <numFmt numFmtId="170" formatCode="[$-14809]dd/mm/yyyy;@"/>
    <numFmt numFmtId="171" formatCode="dd/mm/yyyy;@"/>
  </numFmts>
  <fonts count="2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u/>
      <sz val="9.35"/>
      <color theme="10"/>
      <name val="Arial"/>
      <family val="2"/>
    </font>
    <font>
      <u/>
      <sz val="11"/>
      <color theme="10"/>
      <name val="Calibri"/>
      <family val="2"/>
      <charset val="163"/>
      <scheme val="minor"/>
    </font>
    <font>
      <b/>
      <sz val="10"/>
      <name val="Lexend Deca Light"/>
    </font>
    <font>
      <sz val="10"/>
      <name val="Lexend Deca Light"/>
    </font>
    <font>
      <b/>
      <sz val="10"/>
      <color theme="1"/>
      <name val="Lexend Deca Light"/>
    </font>
    <font>
      <sz val="10"/>
      <color theme="1"/>
      <name val="Lexend Deca Light"/>
    </font>
    <font>
      <b/>
      <i/>
      <sz val="10"/>
      <color theme="1"/>
      <name val="Lexend Deca Light"/>
    </font>
    <font>
      <b/>
      <i/>
      <sz val="10"/>
      <name val="Lexend Deca Light"/>
    </font>
    <font>
      <sz val="10"/>
      <color rgb="FF000000"/>
      <name val="Lexend Deca Light"/>
    </font>
    <font>
      <b/>
      <sz val="10"/>
      <color theme="0"/>
      <name val="Lexend Deca Light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sz val="12"/>
      <name val="Arial"/>
      <family val="2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7" fillId="0" borderId="0" applyNumberFormat="0" applyFill="0" applyBorder="0" applyAlignment="0" applyProtection="0"/>
    <xf numFmtId="167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5">
    <xf numFmtId="0" fontId="0" fillId="0" borderId="0" xfId="0"/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12" fillId="0" borderId="0" xfId="4" applyFont="1" applyAlignment="1">
      <alignment horizontal="right" vertical="center"/>
    </xf>
    <xf numFmtId="166" fontId="13" fillId="0" borderId="0" xfId="4" applyNumberFormat="1" applyFont="1" applyAlignment="1">
      <alignment horizontal="left" vertical="center"/>
    </xf>
    <xf numFmtId="49" fontId="11" fillId="0" borderId="0" xfId="4" applyNumberFormat="1" applyFont="1" applyAlignment="1">
      <alignment horizontal="center" vertical="center"/>
    </xf>
    <xf numFmtId="0" fontId="9" fillId="0" borderId="0" xfId="4" applyFont="1"/>
    <xf numFmtId="0" fontId="9" fillId="0" borderId="0" xfId="4" applyFont="1" applyFill="1"/>
    <xf numFmtId="49" fontId="9" fillId="0" borderId="0" xfId="4" applyNumberFormat="1" applyFont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0" borderId="1" xfId="0" quotePrefix="1" applyFont="1" applyBorder="1" applyAlignment="1">
      <alignment horizontal="center" vertical="top"/>
    </xf>
    <xf numFmtId="0" fontId="11" fillId="0" borderId="1" xfId="0" quotePrefix="1" applyFont="1" applyBorder="1" applyAlignment="1">
      <alignment vertical="top"/>
    </xf>
    <xf numFmtId="0" fontId="11" fillId="0" borderId="1" xfId="0" applyFont="1" applyBorder="1" applyAlignment="1">
      <alignment horizontal="center" vertical="center"/>
    </xf>
    <xf numFmtId="43" fontId="11" fillId="0" borderId="1" xfId="1" applyFont="1" applyBorder="1" applyAlignment="1">
      <alignment vertical="top"/>
    </xf>
    <xf numFmtId="0" fontId="15" fillId="2" borderId="1" xfId="2" applyFont="1" applyFill="1" applyBorder="1" applyAlignment="1">
      <alignment horizontal="center" vertical="center" wrapText="1"/>
    </xf>
    <xf numFmtId="0" fontId="11" fillId="0" borderId="1" xfId="3" applyFont="1" applyBorder="1"/>
    <xf numFmtId="0" fontId="11" fillId="0" borderId="1" xfId="3" applyFont="1" applyFill="1" applyBorder="1"/>
    <xf numFmtId="0" fontId="11" fillId="3" borderId="1" xfId="3" applyFont="1" applyFill="1" applyBorder="1"/>
    <xf numFmtId="0" fontId="11" fillId="0" borderId="1" xfId="0" applyFont="1" applyBorder="1" applyAlignment="1">
      <alignment vertical="center"/>
    </xf>
    <xf numFmtId="0" fontId="9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1" fillId="0" borderId="1" xfId="4" applyFont="1" applyFill="1" applyBorder="1" applyAlignment="1">
      <alignment horizontal="center" vertical="center"/>
    </xf>
    <xf numFmtId="0" fontId="9" fillId="0" borderId="1" xfId="6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49" fontId="9" fillId="0" borderId="1" xfId="4" applyNumberFormat="1" applyFont="1" applyFill="1" applyBorder="1" applyAlignment="1">
      <alignment horizontal="center" vertical="center"/>
    </xf>
    <xf numFmtId="0" fontId="9" fillId="0" borderId="1" xfId="6" applyFont="1" applyFill="1" applyBorder="1" applyAlignment="1">
      <alignment horizontal="left" vertical="center"/>
    </xf>
    <xf numFmtId="167" fontId="14" fillId="0" borderId="1" xfId="8" applyFont="1" applyFill="1" applyBorder="1" applyAlignment="1">
      <alignment horizontal="left" vertical="center"/>
    </xf>
    <xf numFmtId="49" fontId="9" fillId="0" borderId="1" xfId="4" quotePrefix="1" applyNumberFormat="1" applyFont="1" applyFill="1" applyBorder="1" applyAlignment="1">
      <alignment horizontal="center" vertical="center"/>
    </xf>
    <xf numFmtId="0" fontId="9" fillId="0" borderId="1" xfId="6" quotePrefix="1" applyFont="1" applyFill="1" applyBorder="1" applyAlignment="1">
      <alignment horizontal="center" vertical="center"/>
    </xf>
    <xf numFmtId="15" fontId="15" fillId="2" borderId="1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5" fontId="11" fillId="0" borderId="1" xfId="1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5" fontId="11" fillId="0" borderId="1" xfId="0" applyNumberFormat="1" applyFont="1" applyBorder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 wrapText="1"/>
    </xf>
    <xf numFmtId="0" fontId="11" fillId="0" borderId="0" xfId="0" quotePrefix="1" applyFont="1" applyAlignment="1">
      <alignment horizontal="center" vertical="center"/>
    </xf>
    <xf numFmtId="0" fontId="17" fillId="0" borderId="2" xfId="6" applyFont="1" applyBorder="1"/>
    <xf numFmtId="165" fontId="17" fillId="0" borderId="0" xfId="9" applyNumberFormat="1" applyFont="1" applyFill="1" applyBorder="1" applyAlignment="1">
      <alignment vertical="center"/>
    </xf>
    <xf numFmtId="0" fontId="17" fillId="0" borderId="0" xfId="6" applyFont="1"/>
    <xf numFmtId="0" fontId="17" fillId="0" borderId="4" xfId="6" applyFont="1" applyBorder="1"/>
    <xf numFmtId="0" fontId="17" fillId="0" borderId="4" xfId="6" applyFont="1" applyBorder="1" applyAlignment="1">
      <alignment horizontal="center"/>
    </xf>
    <xf numFmtId="165" fontId="17" fillId="0" borderId="0" xfId="9" applyNumberFormat="1" applyFont="1" applyFill="1" applyBorder="1" applyAlignment="1">
      <alignment horizontal="center" vertical="center"/>
    </xf>
    <xf numFmtId="0" fontId="17" fillId="0" borderId="0" xfId="6" applyFont="1" applyAlignment="1">
      <alignment horizontal="center"/>
    </xf>
    <xf numFmtId="165" fontId="23" fillId="5" borderId="3" xfId="9" applyNumberFormat="1" applyFont="1" applyFill="1" applyBorder="1" applyAlignment="1">
      <alignment horizontal="center" vertical="center" wrapText="1"/>
    </xf>
    <xf numFmtId="169" fontId="17" fillId="0" borderId="3" xfId="6" quotePrefix="1" applyNumberFormat="1" applyFont="1" applyBorder="1" applyAlignment="1">
      <alignment horizontal="center" vertical="center"/>
    </xf>
    <xf numFmtId="169" fontId="17" fillId="0" borderId="3" xfId="6" quotePrefix="1" applyNumberFormat="1" applyFont="1" applyBorder="1" applyAlignment="1">
      <alignment horizontal="center" vertical="center" wrapText="1"/>
    </xf>
    <xf numFmtId="169" fontId="17" fillId="0" borderId="3" xfId="6" applyNumberFormat="1" applyFont="1" applyBorder="1" applyAlignment="1">
      <alignment horizontal="center" vertical="center" wrapText="1"/>
    </xf>
    <xf numFmtId="0" fontId="17" fillId="6" borderId="4" xfId="6" applyFont="1" applyFill="1" applyBorder="1" applyAlignment="1">
      <alignment vertical="center" wrapText="1"/>
    </xf>
    <xf numFmtId="0" fontId="23" fillId="6" borderId="8" xfId="6" applyFont="1" applyFill="1" applyBorder="1" applyAlignment="1">
      <alignment horizontal="center" vertical="center" wrapText="1"/>
    </xf>
    <xf numFmtId="165" fontId="17" fillId="6" borderId="0" xfId="9" applyNumberFormat="1" applyFont="1" applyFill="1" applyBorder="1" applyAlignment="1">
      <alignment vertical="center"/>
    </xf>
    <xf numFmtId="0" fontId="17" fillId="6" borderId="0" xfId="6" applyFont="1" applyFill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3" xfId="6" applyFont="1" applyBorder="1" applyAlignment="1">
      <alignment horizontal="center" vertical="center" wrapText="1"/>
    </xf>
    <xf numFmtId="14" fontId="17" fillId="0" borderId="3" xfId="6" applyNumberFormat="1" applyFont="1" applyBorder="1" applyAlignment="1">
      <alignment horizontal="left" vertical="center"/>
    </xf>
    <xf numFmtId="170" fontId="18" fillId="0" borderId="3" xfId="6" applyNumberFormat="1" applyFont="1" applyBorder="1" applyAlignment="1">
      <alignment horizontal="center" vertical="center" wrapText="1"/>
    </xf>
    <xf numFmtId="165" fontId="17" fillId="0" borderId="3" xfId="9" applyNumberFormat="1" applyFont="1" applyFill="1" applyBorder="1" applyAlignment="1">
      <alignment horizontal="center" vertical="center" wrapText="1"/>
    </xf>
    <xf numFmtId="165" fontId="17" fillId="0" borderId="9" xfId="9" applyNumberFormat="1" applyFont="1" applyFill="1" applyBorder="1" applyAlignment="1">
      <alignment horizontal="left" vertical="center" wrapText="1"/>
    </xf>
    <xf numFmtId="0" fontId="17" fillId="0" borderId="3" xfId="6" applyFont="1" applyBorder="1" applyAlignment="1">
      <alignment horizontal="left" vertical="center" wrapText="1"/>
    </xf>
    <xf numFmtId="0" fontId="17" fillId="0" borderId="0" xfId="6" applyFont="1" applyAlignment="1">
      <alignment vertical="center"/>
    </xf>
    <xf numFmtId="0" fontId="17" fillId="7" borderId="9" xfId="6" applyFont="1" applyFill="1" applyBorder="1" applyAlignment="1">
      <alignment horizontal="center" vertical="center" wrapText="1"/>
    </xf>
    <xf numFmtId="14" fontId="17" fillId="7" borderId="9" xfId="6" applyNumberFormat="1" applyFont="1" applyFill="1" applyBorder="1" applyAlignment="1">
      <alignment horizontal="left" vertical="center" wrapText="1"/>
    </xf>
    <xf numFmtId="171" fontId="17" fillId="7" borderId="9" xfId="6" applyNumberFormat="1" applyFont="1" applyFill="1" applyBorder="1" applyAlignment="1">
      <alignment horizontal="center" vertical="center" wrapText="1"/>
    </xf>
    <xf numFmtId="165" fontId="17" fillId="0" borderId="9" xfId="9" applyNumberFormat="1" applyFont="1" applyFill="1" applyBorder="1" applyAlignment="1">
      <alignment horizontal="center" vertical="center" wrapText="1"/>
    </xf>
    <xf numFmtId="43" fontId="17" fillId="0" borderId="9" xfId="9" applyFont="1" applyFill="1" applyBorder="1" applyAlignment="1">
      <alignment horizontal="left" vertical="center" wrapText="1"/>
    </xf>
    <xf numFmtId="164" fontId="17" fillId="0" borderId="9" xfId="9" applyNumberFormat="1" applyFont="1" applyFill="1" applyBorder="1" applyAlignment="1">
      <alignment horizontal="left" vertical="center" wrapText="1"/>
    </xf>
    <xf numFmtId="0" fontId="17" fillId="0" borderId="9" xfId="6" quotePrefix="1" applyFont="1" applyBorder="1" applyAlignment="1">
      <alignment horizontal="left" vertical="center" wrapText="1"/>
    </xf>
    <xf numFmtId="0" fontId="17" fillId="7" borderId="10" xfId="6" applyFont="1" applyFill="1" applyBorder="1" applyAlignment="1">
      <alignment horizontal="center" vertical="center" wrapText="1"/>
    </xf>
    <xf numFmtId="14" fontId="17" fillId="7" borderId="10" xfId="6" applyNumberFormat="1" applyFont="1" applyFill="1" applyBorder="1" applyAlignment="1">
      <alignment horizontal="left" vertical="center" wrapText="1"/>
    </xf>
    <xf numFmtId="171" fontId="17" fillId="7" borderId="10" xfId="6" applyNumberFormat="1" applyFont="1" applyFill="1" applyBorder="1" applyAlignment="1">
      <alignment horizontal="center" vertical="center" wrapText="1"/>
    </xf>
    <xf numFmtId="165" fontId="17" fillId="0" borderId="10" xfId="9" applyNumberFormat="1" applyFont="1" applyFill="1" applyBorder="1" applyAlignment="1">
      <alignment horizontal="center" vertical="center" wrapText="1"/>
    </xf>
    <xf numFmtId="165" fontId="17" fillId="0" borderId="10" xfId="9" applyNumberFormat="1" applyFont="1" applyFill="1" applyBorder="1" applyAlignment="1">
      <alignment horizontal="left" vertical="center" wrapText="1"/>
    </xf>
    <xf numFmtId="43" fontId="17" fillId="0" borderId="10" xfId="9" applyFont="1" applyFill="1" applyBorder="1" applyAlignment="1">
      <alignment horizontal="left" vertical="center" wrapText="1"/>
    </xf>
    <xf numFmtId="164" fontId="17" fillId="0" borderId="10" xfId="9" applyNumberFormat="1" applyFont="1" applyFill="1" applyBorder="1" applyAlignment="1">
      <alignment horizontal="left" vertical="center" wrapText="1"/>
    </xf>
    <xf numFmtId="0" fontId="17" fillId="0" borderId="10" xfId="6" quotePrefix="1" applyFont="1" applyBorder="1" applyAlignment="1">
      <alignment horizontal="left" vertical="center" wrapText="1"/>
    </xf>
    <xf numFmtId="0" fontId="17" fillId="7" borderId="11" xfId="6" applyFont="1" applyFill="1" applyBorder="1" applyAlignment="1">
      <alignment horizontal="center" vertical="center" wrapText="1"/>
    </xf>
    <xf numFmtId="14" fontId="17" fillId="7" borderId="11" xfId="6" applyNumberFormat="1" applyFont="1" applyFill="1" applyBorder="1" applyAlignment="1">
      <alignment horizontal="left" vertical="center" wrapText="1"/>
    </xf>
    <xf numFmtId="171" fontId="17" fillId="7" borderId="11" xfId="6" applyNumberFormat="1" applyFont="1" applyFill="1" applyBorder="1" applyAlignment="1">
      <alignment horizontal="center" vertical="center" wrapText="1"/>
    </xf>
    <xf numFmtId="165" fontId="17" fillId="0" borderId="11" xfId="9" applyNumberFormat="1" applyFont="1" applyFill="1" applyBorder="1" applyAlignment="1">
      <alignment horizontal="center" vertical="center" wrapText="1"/>
    </xf>
    <xf numFmtId="165" fontId="17" fillId="0" borderId="11" xfId="9" applyNumberFormat="1" applyFont="1" applyFill="1" applyBorder="1" applyAlignment="1">
      <alignment horizontal="left" vertical="center" wrapText="1"/>
    </xf>
    <xf numFmtId="43" fontId="17" fillId="0" borderId="11" xfId="9" applyFont="1" applyFill="1" applyBorder="1" applyAlignment="1">
      <alignment horizontal="left" vertical="center" wrapText="1"/>
    </xf>
    <xf numFmtId="164" fontId="17" fillId="0" borderId="11" xfId="9" applyNumberFormat="1" applyFont="1" applyFill="1" applyBorder="1" applyAlignment="1">
      <alignment horizontal="left" vertical="center" wrapText="1"/>
    </xf>
    <xf numFmtId="0" fontId="17" fillId="0" borderId="11" xfId="6" quotePrefix="1" applyFont="1" applyBorder="1" applyAlignment="1">
      <alignment horizontal="left" vertical="center" wrapText="1"/>
    </xf>
    <xf numFmtId="14" fontId="17" fillId="0" borderId="8" xfId="6" applyNumberFormat="1" applyFont="1" applyBorder="1" applyAlignment="1">
      <alignment vertical="center"/>
    </xf>
    <xf numFmtId="0" fontId="17" fillId="0" borderId="3" xfId="6" quotePrefix="1" applyFont="1" applyBorder="1" applyAlignment="1">
      <alignment horizontal="left" vertical="center" wrapText="1"/>
    </xf>
    <xf numFmtId="14" fontId="17" fillId="7" borderId="3" xfId="6" applyNumberFormat="1" applyFont="1" applyFill="1" applyBorder="1" applyAlignment="1">
      <alignment vertical="center" wrapText="1"/>
    </xf>
    <xf numFmtId="165" fontId="17" fillId="7" borderId="3" xfId="9" applyNumberFormat="1" applyFont="1" applyFill="1" applyBorder="1" applyAlignment="1">
      <alignment vertical="center" wrapText="1"/>
    </xf>
    <xf numFmtId="165" fontId="17" fillId="0" borderId="3" xfId="9" applyNumberFormat="1" applyFont="1" applyFill="1" applyBorder="1" applyAlignment="1">
      <alignment horizontal="left" vertical="center" wrapText="1"/>
    </xf>
    <xf numFmtId="9" fontId="17" fillId="7" borderId="3" xfId="10" applyFont="1" applyFill="1" applyBorder="1" applyAlignment="1">
      <alignment vertical="center" wrapText="1"/>
    </xf>
    <xf numFmtId="165" fontId="23" fillId="0" borderId="0" xfId="9" applyNumberFormat="1" applyFont="1" applyFill="1" applyBorder="1" applyAlignment="1">
      <alignment vertical="center"/>
    </xf>
    <xf numFmtId="0" fontId="23" fillId="0" borderId="0" xfId="6" applyFont="1"/>
    <xf numFmtId="14" fontId="17" fillId="0" borderId="0" xfId="6" applyNumberFormat="1" applyFont="1" applyAlignment="1">
      <alignment horizontal="center"/>
    </xf>
    <xf numFmtId="165" fontId="17" fillId="0" borderId="0" xfId="9" applyNumberFormat="1" applyFont="1" applyFill="1" applyAlignment="1">
      <alignment horizontal="center"/>
    </xf>
    <xf numFmtId="0" fontId="23" fillId="0" borderId="0" xfId="6" applyFont="1" applyAlignment="1">
      <alignment horizontal="center"/>
    </xf>
    <xf numFmtId="165" fontId="17" fillId="8" borderId="0" xfId="9" applyNumberFormat="1" applyFont="1" applyFill="1" applyAlignment="1">
      <alignment horizontal="center"/>
    </xf>
    <xf numFmtId="165" fontId="17" fillId="0" borderId="0" xfId="9" applyNumberFormat="1" applyFont="1" applyFill="1" applyAlignment="1">
      <alignment vertical="center"/>
    </xf>
    <xf numFmtId="165" fontId="17" fillId="0" borderId="14" xfId="9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10" fillId="0" borderId="16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0" fillId="0" borderId="18" xfId="0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0" fillId="0" borderId="12" xfId="0" applyBorder="1"/>
    <xf numFmtId="0" fontId="10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0" fillId="0" borderId="13" xfId="0" applyBorder="1"/>
    <xf numFmtId="0" fontId="0" fillId="0" borderId="5" xfId="0" applyBorder="1"/>
    <xf numFmtId="0" fontId="16" fillId="0" borderId="6" xfId="0" applyFont="1" applyBorder="1"/>
    <xf numFmtId="0" fontId="0" fillId="0" borderId="6" xfId="0" applyBorder="1"/>
    <xf numFmtId="0" fontId="0" fillId="0" borderId="7" xfId="0" applyBorder="1"/>
    <xf numFmtId="0" fontId="23" fillId="5" borderId="3" xfId="6" applyFont="1" applyFill="1" applyBorder="1" applyAlignment="1">
      <alignment horizontal="center" vertical="center" wrapText="1"/>
    </xf>
    <xf numFmtId="14" fontId="23" fillId="6" borderId="5" xfId="6" applyNumberFormat="1" applyFont="1" applyFill="1" applyBorder="1" applyAlignment="1">
      <alignment horizontal="left" vertical="center" wrapText="1"/>
    </xf>
    <xf numFmtId="14" fontId="23" fillId="6" borderId="6" xfId="6" applyNumberFormat="1" applyFont="1" applyFill="1" applyBorder="1" applyAlignment="1">
      <alignment horizontal="left" vertical="center" wrapText="1"/>
    </xf>
    <xf numFmtId="14" fontId="23" fillId="6" borderId="7" xfId="6" applyNumberFormat="1" applyFont="1" applyFill="1" applyBorder="1" applyAlignment="1">
      <alignment horizontal="left" vertical="center" wrapText="1"/>
    </xf>
    <xf numFmtId="14" fontId="17" fillId="0" borderId="12" xfId="6" applyNumberFormat="1" applyFont="1" applyBorder="1" applyAlignment="1">
      <alignment horizontal="left" vertical="center"/>
    </xf>
    <xf numFmtId="14" fontId="17" fillId="0" borderId="13" xfId="6" applyNumberFormat="1" applyFont="1" applyBorder="1" applyAlignment="1">
      <alignment horizontal="left" vertical="center"/>
    </xf>
    <xf numFmtId="0" fontId="17" fillId="0" borderId="3" xfId="6" applyFont="1" applyBorder="1" applyAlignment="1">
      <alignment horizontal="center" vertical="center" wrapText="1"/>
    </xf>
    <xf numFmtId="0" fontId="17" fillId="0" borderId="3" xfId="6" applyFont="1" applyBorder="1" applyAlignment="1">
      <alignment horizontal="left" vertical="center"/>
    </xf>
    <xf numFmtId="0" fontId="19" fillId="0" borderId="3" xfId="6" applyFont="1" applyBorder="1" applyAlignment="1">
      <alignment horizontal="left" vertical="center"/>
    </xf>
    <xf numFmtId="0" fontId="20" fillId="0" borderId="5" xfId="6" applyFont="1" applyBorder="1" applyAlignment="1">
      <alignment horizontal="center" vertical="center" wrapText="1"/>
    </xf>
    <xf numFmtId="0" fontId="22" fillId="0" borderId="6" xfId="6" applyFont="1" applyBorder="1" applyAlignment="1">
      <alignment horizontal="center" vertical="center"/>
    </xf>
    <xf numFmtId="0" fontId="22" fillId="0" borderId="7" xfId="6" applyFont="1" applyBorder="1" applyAlignment="1">
      <alignment horizontal="center" vertical="center"/>
    </xf>
    <xf numFmtId="0" fontId="23" fillId="5" borderId="3" xfId="6" applyFont="1" applyFill="1" applyBorder="1" applyAlignment="1">
      <alignment horizontal="center" vertical="center"/>
    </xf>
    <xf numFmtId="14" fontId="23" fillId="5" borderId="3" xfId="6" applyNumberFormat="1" applyFont="1" applyFill="1" applyBorder="1" applyAlignment="1">
      <alignment horizontal="center" vertical="center" wrapText="1"/>
    </xf>
    <xf numFmtId="165" fontId="23" fillId="5" borderId="3" xfId="9" applyNumberFormat="1" applyFont="1" applyFill="1" applyBorder="1" applyAlignment="1">
      <alignment horizontal="center" vertical="center" wrapText="1"/>
    </xf>
    <xf numFmtId="165" fontId="23" fillId="5" borderId="5" xfId="9" applyNumberFormat="1" applyFont="1" applyFill="1" applyBorder="1" applyAlignment="1">
      <alignment horizontal="center" vertical="center" wrapText="1"/>
    </xf>
    <xf numFmtId="165" fontId="23" fillId="5" borderId="6" xfId="9" applyNumberFormat="1" applyFont="1" applyFill="1" applyBorder="1" applyAlignment="1">
      <alignment horizontal="center" vertical="center" wrapText="1"/>
    </xf>
    <xf numFmtId="165" fontId="23" fillId="5" borderId="7" xfId="9" applyNumberFormat="1" applyFont="1" applyFill="1" applyBorder="1" applyAlignment="1">
      <alignment horizontal="center" vertical="center" wrapText="1"/>
    </xf>
    <xf numFmtId="14" fontId="17" fillId="7" borderId="5" xfId="6" applyNumberFormat="1" applyFont="1" applyFill="1" applyBorder="1" applyAlignment="1">
      <alignment horizontal="left" vertical="center" wrapText="1"/>
    </xf>
    <xf numFmtId="14" fontId="17" fillId="7" borderId="6" xfId="6" applyNumberFormat="1" applyFont="1" applyFill="1" applyBorder="1" applyAlignment="1">
      <alignment horizontal="left" vertical="center" wrapText="1"/>
    </xf>
    <xf numFmtId="0" fontId="23" fillId="0" borderId="5" xfId="6" applyFont="1" applyBorder="1" applyAlignment="1">
      <alignment horizontal="center" vertical="center" wrapText="1"/>
    </xf>
    <xf numFmtId="0" fontId="23" fillId="0" borderId="6" xfId="6" applyFont="1" applyBorder="1" applyAlignment="1">
      <alignment horizontal="center" vertical="center" wrapText="1"/>
    </xf>
    <xf numFmtId="0" fontId="23" fillId="0" borderId="7" xfId="6" applyFont="1" applyBorder="1" applyAlignment="1">
      <alignment horizontal="center" vertical="center" wrapText="1"/>
    </xf>
    <xf numFmtId="0" fontId="17" fillId="0" borderId="5" xfId="6" applyFont="1" applyBorder="1" applyAlignment="1">
      <alignment horizontal="center" wrapText="1"/>
    </xf>
    <xf numFmtId="0" fontId="17" fillId="0" borderId="6" xfId="6" applyFont="1" applyBorder="1" applyAlignment="1">
      <alignment horizontal="center" wrapText="1"/>
    </xf>
    <xf numFmtId="0" fontId="17" fillId="0" borderId="7" xfId="6" applyFont="1" applyBorder="1" applyAlignment="1">
      <alignment horizontal="center" wrapText="1"/>
    </xf>
    <xf numFmtId="165" fontId="23" fillId="0" borderId="5" xfId="9" applyNumberFormat="1" applyFont="1" applyFill="1" applyBorder="1" applyAlignment="1">
      <alignment horizontal="center" vertical="center" wrapText="1"/>
    </xf>
    <xf numFmtId="165" fontId="23" fillId="0" borderId="6" xfId="9" applyNumberFormat="1" applyFont="1" applyFill="1" applyBorder="1" applyAlignment="1">
      <alignment horizontal="center" vertical="center" wrapText="1"/>
    </xf>
    <xf numFmtId="165" fontId="23" fillId="0" borderId="7" xfId="9" applyNumberFormat="1" applyFont="1" applyFill="1" applyBorder="1" applyAlignment="1">
      <alignment horizontal="center" vertical="center" wrapText="1"/>
    </xf>
    <xf numFmtId="0" fontId="17" fillId="0" borderId="5" xfId="6" applyFont="1" applyBorder="1" applyAlignment="1">
      <alignment horizontal="left" wrapText="1"/>
    </xf>
    <xf numFmtId="0" fontId="17" fillId="0" borderId="6" xfId="6" applyFont="1" applyBorder="1" applyAlignment="1">
      <alignment horizontal="left" wrapText="1"/>
    </xf>
    <xf numFmtId="165" fontId="17" fillId="0" borderId="5" xfId="9" applyNumberFormat="1" applyFont="1" applyFill="1" applyBorder="1" applyAlignment="1">
      <alignment horizontal="left" wrapText="1"/>
    </xf>
    <xf numFmtId="165" fontId="17" fillId="0" borderId="6" xfId="9" applyNumberFormat="1" applyFont="1" applyFill="1" applyBorder="1" applyAlignment="1">
      <alignment horizontal="left" wrapText="1"/>
    </xf>
    <xf numFmtId="165" fontId="17" fillId="0" borderId="7" xfId="9" applyNumberFormat="1" applyFont="1" applyFill="1" applyBorder="1" applyAlignment="1">
      <alignment horizontal="left" wrapText="1"/>
    </xf>
  </cellXfs>
  <cellStyles count="11">
    <cellStyle name="Comma" xfId="1" builtinId="3"/>
    <cellStyle name="Comma 2" xfId="9" xr:uid="{A24D8295-9879-4E94-AFD3-2C3CA01C5B91}"/>
    <cellStyle name="Hyperlink 2" xfId="5" xr:uid="{9C4761EC-B358-4F53-9018-18DEDC9715CE}"/>
    <cellStyle name="Hyperlink 2 2" xfId="7" xr:uid="{28C32989-FE4A-43C4-9D90-125A69ED029A}"/>
    <cellStyle name="Normal" xfId="0" builtinId="0"/>
    <cellStyle name="Normal 2 2 2" xfId="6" xr:uid="{55BC1B3C-F587-4ED9-9874-8D311357C1FE}"/>
    <cellStyle name="Normal 3 2" xfId="8" xr:uid="{348B476F-8936-473E-BDC3-AD8A85BE9FDE}"/>
    <cellStyle name="Normal 3 2 3 2 2 2 2 2" xfId="2" xr:uid="{AE0D1623-8980-4653-899F-CFCE963829D6}"/>
    <cellStyle name="Normal 5" xfId="3" xr:uid="{90B3C78C-FC32-44DE-8EB9-7044D8193F93}"/>
    <cellStyle name="Normal 5 2" xfId="4" xr:uid="{E1216BB3-E05C-481E-81CC-D422251C7E97}"/>
    <cellStyle name="Percent 2" xfId="10" xr:uid="{45C8A207-DB01-4AF5-B186-6B63A640497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302909</xdr:colOff>
      <xdr:row>0</xdr:row>
      <xdr:rowOff>7435</xdr:rowOff>
    </xdr:from>
    <xdr:ext cx="1855444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F1366C-3C6D-AB4D-02BF-B97009DAD43A}"/>
            </a:ext>
          </a:extLst>
        </xdr:cNvPr>
        <xdr:cNvSpPr/>
      </xdr:nvSpPr>
      <xdr:spPr>
        <a:xfrm>
          <a:off x="531509" y="7435"/>
          <a:ext cx="185544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5400" b="1" cap="none" spc="0">
              <a:ln/>
              <a:solidFill>
                <a:schemeClr val="accent4"/>
              </a:solidFill>
              <a:effectLst/>
            </a:rPr>
            <a:t>LOGO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0.3\costcontrol$\Users\HT\AppData\Roaming\Microsoft\Excel\BOQ%20du%20toan%20Bot%20mi%2020110719%20(version%202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 KC"/>
      <sheetName val="Material HT"/>
      <sheetName val="PTDG - Finis"/>
      <sheetName val="List"/>
      <sheetName val="Rate"/>
      <sheetName val="總合表(Tong hop)"/>
      <sheetName val="A.準備工作(Chuan bi)"/>
      <sheetName val="Unicons-Chuẩn bị"/>
      <sheetName val="1.主車間(Xuong chinh)"/>
      <sheetName val="2.共用車間(nha noi)"/>
      <sheetName val="3.原料入倉(nha nhap lieu)"/>
      <sheetName val="4.成品增建(Tp mo rong)"/>
      <sheetName val="5.silo基礎及坑道(mong SLO+ham lieu)"/>
      <sheetName val="6.道路及雨污水排放系統(Ha tang+muong)"/>
      <sheetName val="00000000"/>
      <sheetName val="Sheet3"/>
      <sheetName val="입찰안"/>
      <sheetName val="조명시설"/>
      <sheetName val="Quantity"/>
      <sheetName val="FAB별"/>
      <sheetName val="Hang_muc_XD"/>
      <sheetName val="차액보증"/>
    </sheetNames>
    <sheetDataSet>
      <sheetData sheetId="0">
        <row r="37">
          <cell r="C37">
            <v>164912</v>
          </cell>
        </row>
      </sheetData>
      <sheetData sheetId="1">
        <row r="16">
          <cell r="E16">
            <v>669145.49090909085</v>
          </cell>
        </row>
        <row r="23">
          <cell r="E23">
            <v>7181.8181818181811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18">
          <cell r="G118">
            <v>3.1415926540000001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6E43-9081-4CE5-BC60-55472FFF93A9}">
  <dimension ref="A1:D3"/>
  <sheetViews>
    <sheetView showGridLines="0" workbookViewId="0">
      <selection activeCell="F16" sqref="F16"/>
    </sheetView>
  </sheetViews>
  <sheetFormatPr defaultRowHeight="14.4"/>
  <cols>
    <col min="3" max="3" width="14.21875" customWidth="1"/>
    <col min="4" max="4" width="21.5546875" customWidth="1"/>
  </cols>
  <sheetData>
    <row r="1" spans="1:4">
      <c r="A1" t="s">
        <v>2</v>
      </c>
    </row>
    <row r="3" spans="1:4">
      <c r="A3" t="s">
        <v>3</v>
      </c>
      <c r="B3" t="s">
        <v>4</v>
      </c>
      <c r="C3" t="s">
        <v>1</v>
      </c>
      <c r="D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CF15-556B-4D81-9856-EFA3565B8673}">
  <sheetPr>
    <tabColor theme="5" tint="0.79998168889431442"/>
  </sheetPr>
  <dimension ref="A3:AL60"/>
  <sheetViews>
    <sheetView showGridLines="0" topLeftCell="B1" zoomScaleNormal="100" workbookViewId="0">
      <selection activeCell="F23" sqref="F23"/>
    </sheetView>
  </sheetViews>
  <sheetFormatPr defaultRowHeight="13.2"/>
  <cols>
    <col min="1" max="1" width="18.5546875" style="4" hidden="1" customWidth="1"/>
    <col min="2" max="2" width="15.77734375" style="4" bestFit="1" customWidth="1"/>
    <col min="3" max="3" width="23.33203125" style="4" customWidth="1"/>
    <col min="4" max="4" width="25" style="4" customWidth="1"/>
    <col min="5" max="5" width="12.21875" style="4" bestFit="1" customWidth="1"/>
    <col min="6" max="6" width="13" style="4" bestFit="1" customWidth="1"/>
    <col min="7" max="7" width="13.88671875" style="4" hidden="1" customWidth="1"/>
    <col min="8" max="8" width="10.5546875" style="4" hidden="1" customWidth="1"/>
    <col min="9" max="9" width="12.5546875" style="4" hidden="1" customWidth="1"/>
    <col min="10" max="10" width="13.33203125" style="4" hidden="1" customWidth="1"/>
    <col min="11" max="11" width="14" style="4" hidden="1" customWidth="1"/>
    <col min="12" max="12" width="12.44140625" style="4" bestFit="1" customWidth="1"/>
    <col min="13" max="13" width="12.5546875" style="4" hidden="1" customWidth="1"/>
    <col min="14" max="14" width="13.44140625" style="4" hidden="1" customWidth="1"/>
    <col min="15" max="15" width="12.21875" style="4" hidden="1" customWidth="1"/>
    <col min="16" max="16" width="11.21875" style="4" hidden="1" customWidth="1"/>
    <col min="17" max="17" width="7.88671875" style="4" hidden="1" customWidth="1"/>
    <col min="18" max="18" width="8" style="4" hidden="1" customWidth="1"/>
    <col min="19" max="19" width="11.21875" style="4" hidden="1" customWidth="1"/>
    <col min="20" max="20" width="7.88671875" style="4" hidden="1" customWidth="1"/>
    <col min="21" max="21" width="8.88671875" style="4" hidden="1" customWidth="1"/>
    <col min="22" max="22" width="11.21875" style="4" hidden="1" customWidth="1"/>
    <col min="23" max="23" width="7.88671875" style="4" hidden="1" customWidth="1"/>
    <col min="24" max="24" width="8" style="4" hidden="1" customWidth="1"/>
    <col min="25" max="25" width="11.21875" style="4" hidden="1" customWidth="1"/>
    <col min="26" max="26" width="7.88671875" style="4" hidden="1" customWidth="1"/>
    <col min="27" max="27" width="8" style="4" hidden="1" customWidth="1"/>
    <col min="28" max="28" width="13.88671875" style="4" hidden="1" customWidth="1"/>
    <col min="29" max="29" width="13" style="4" hidden="1" customWidth="1"/>
    <col min="30" max="30" width="12" style="4" hidden="1" customWidth="1"/>
    <col min="31" max="31" width="14.109375" style="4" hidden="1" customWidth="1"/>
    <col min="32" max="32" width="16.21875" style="4" hidden="1" customWidth="1"/>
    <col min="33" max="33" width="13.6640625" style="4" hidden="1" customWidth="1"/>
    <col min="34" max="35" width="14.109375" style="4" hidden="1" customWidth="1"/>
    <col min="36" max="36" width="11.33203125" style="4" hidden="1" customWidth="1"/>
    <col min="37" max="37" width="14.109375" style="4" hidden="1" customWidth="1"/>
    <col min="38" max="38" width="13.5546875" style="4" hidden="1" customWidth="1"/>
    <col min="39" max="16384" width="8.88671875" style="4"/>
  </cols>
  <sheetData>
    <row r="3" spans="1:38" ht="52.8">
      <c r="A3" s="52" t="s">
        <v>139</v>
      </c>
      <c r="B3" s="25" t="s">
        <v>140</v>
      </c>
      <c r="C3" s="25" t="s">
        <v>141</v>
      </c>
      <c r="D3" s="25" t="s">
        <v>142</v>
      </c>
      <c r="E3" s="25" t="s">
        <v>143</v>
      </c>
      <c r="F3" s="25" t="s">
        <v>144</v>
      </c>
      <c r="G3" s="52" t="s">
        <v>145</v>
      </c>
      <c r="H3" s="52" t="s">
        <v>146</v>
      </c>
      <c r="I3" s="52" t="s">
        <v>169</v>
      </c>
      <c r="J3" s="52" t="s">
        <v>147</v>
      </c>
      <c r="K3" s="52" t="s">
        <v>148</v>
      </c>
      <c r="L3" s="25" t="s">
        <v>149</v>
      </c>
      <c r="M3" s="25" t="s">
        <v>150</v>
      </c>
      <c r="N3" s="25" t="s">
        <v>151</v>
      </c>
      <c r="O3" s="25" t="s">
        <v>152</v>
      </c>
      <c r="P3" s="25" t="s">
        <v>16</v>
      </c>
      <c r="Q3" s="25" t="s">
        <v>17</v>
      </c>
      <c r="R3" s="25" t="s">
        <v>18</v>
      </c>
      <c r="S3" s="25" t="s">
        <v>19</v>
      </c>
      <c r="T3" s="25" t="s">
        <v>20</v>
      </c>
      <c r="U3" s="25" t="s">
        <v>21</v>
      </c>
      <c r="V3" s="25" t="s">
        <v>22</v>
      </c>
      <c r="W3" s="25" t="s">
        <v>23</v>
      </c>
      <c r="X3" s="25" t="s">
        <v>24</v>
      </c>
      <c r="Y3" s="25" t="s">
        <v>25</v>
      </c>
      <c r="Z3" s="25" t="s">
        <v>26</v>
      </c>
      <c r="AA3" s="25" t="s">
        <v>27</v>
      </c>
      <c r="AB3" s="25" t="s">
        <v>153</v>
      </c>
      <c r="AC3" s="25" t="s">
        <v>154</v>
      </c>
      <c r="AD3" s="25" t="s">
        <v>155</v>
      </c>
      <c r="AE3" s="25" t="s">
        <v>156</v>
      </c>
      <c r="AF3" s="25" t="s">
        <v>157</v>
      </c>
      <c r="AG3" s="25" t="s">
        <v>158</v>
      </c>
      <c r="AH3" s="25" t="s">
        <v>159</v>
      </c>
      <c r="AI3" s="25" t="s">
        <v>160</v>
      </c>
      <c r="AJ3" s="25" t="s">
        <v>161</v>
      </c>
      <c r="AK3" s="25" t="s">
        <v>162</v>
      </c>
      <c r="AL3" s="25" t="s">
        <v>163</v>
      </c>
    </row>
    <row r="4" spans="1:38">
      <c r="A4" s="19"/>
      <c r="B4" s="1" t="s">
        <v>28</v>
      </c>
      <c r="C4" s="2" t="s">
        <v>29</v>
      </c>
      <c r="D4" s="2" t="s">
        <v>29</v>
      </c>
      <c r="E4" s="3" t="s">
        <v>30</v>
      </c>
      <c r="F4" s="3" t="s">
        <v>31</v>
      </c>
      <c r="G4" s="3"/>
      <c r="H4" s="20"/>
      <c r="I4" s="20"/>
      <c r="J4" s="21"/>
      <c r="K4" s="21"/>
      <c r="L4" s="20" t="s">
        <v>32</v>
      </c>
      <c r="M4" s="19"/>
      <c r="N4" s="19"/>
      <c r="O4" s="19"/>
      <c r="P4" s="19" t="s">
        <v>33</v>
      </c>
      <c r="Q4" s="19">
        <v>1</v>
      </c>
      <c r="R4" s="19">
        <v>50</v>
      </c>
      <c r="S4" s="19" t="s">
        <v>34</v>
      </c>
      <c r="T4" s="19">
        <v>1</v>
      </c>
      <c r="U4" s="19">
        <v>1000</v>
      </c>
      <c r="V4" s="19"/>
      <c r="W4" s="19"/>
      <c r="X4" s="19"/>
      <c r="Y4" s="19"/>
      <c r="Z4" s="19"/>
      <c r="AA4" s="19"/>
      <c r="AB4" s="19">
        <v>1001</v>
      </c>
      <c r="AC4" s="19"/>
      <c r="AD4" s="19"/>
      <c r="AE4" s="19"/>
      <c r="AF4" s="19"/>
      <c r="AG4" s="19" t="s">
        <v>35</v>
      </c>
      <c r="AH4" s="22" t="s">
        <v>36</v>
      </c>
      <c r="AI4" s="23" t="s">
        <v>37</v>
      </c>
      <c r="AJ4" s="19" t="s">
        <v>33</v>
      </c>
      <c r="AK4" s="19"/>
      <c r="AL4" s="24" t="s">
        <v>38</v>
      </c>
    </row>
    <row r="5" spans="1:38">
      <c r="A5" s="2"/>
      <c r="B5" s="1" t="s">
        <v>39</v>
      </c>
      <c r="C5" s="2" t="s">
        <v>283</v>
      </c>
      <c r="D5" s="2" t="s">
        <v>283</v>
      </c>
      <c r="E5" s="3" t="s">
        <v>40</v>
      </c>
      <c r="F5" s="3" t="s">
        <v>31</v>
      </c>
      <c r="G5" s="3"/>
      <c r="H5" s="20"/>
      <c r="I5" s="20"/>
      <c r="J5" s="21"/>
      <c r="K5" s="21"/>
      <c r="L5" s="20" t="s">
        <v>41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>
        <v>1111</v>
      </c>
      <c r="AC5" s="19"/>
      <c r="AD5" s="19"/>
      <c r="AE5" s="19"/>
      <c r="AF5" s="19"/>
      <c r="AG5" s="19" t="s">
        <v>35</v>
      </c>
      <c r="AH5" s="22" t="s">
        <v>36</v>
      </c>
      <c r="AI5" s="23" t="s">
        <v>37</v>
      </c>
      <c r="AJ5" s="19"/>
      <c r="AK5" s="19"/>
      <c r="AL5" s="24" t="s">
        <v>42</v>
      </c>
    </row>
    <row r="6" spans="1:38">
      <c r="A6" s="2"/>
      <c r="B6" s="1" t="s">
        <v>43</v>
      </c>
      <c r="C6" s="2" t="s">
        <v>284</v>
      </c>
      <c r="D6" s="2" t="s">
        <v>284</v>
      </c>
      <c r="E6" s="3" t="s">
        <v>40</v>
      </c>
      <c r="F6" s="3" t="s">
        <v>31</v>
      </c>
      <c r="G6" s="3"/>
      <c r="H6" s="20"/>
      <c r="I6" s="20"/>
      <c r="J6" s="21"/>
      <c r="K6" s="21"/>
      <c r="L6" s="20" t="s">
        <v>41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>
        <v>1111</v>
      </c>
      <c r="AC6" s="19"/>
      <c r="AD6" s="19"/>
      <c r="AE6" s="19"/>
      <c r="AF6" s="19"/>
      <c r="AG6" s="19" t="s">
        <v>35</v>
      </c>
      <c r="AH6" s="22" t="s">
        <v>36</v>
      </c>
      <c r="AI6" s="23" t="s">
        <v>37</v>
      </c>
      <c r="AJ6" s="19"/>
      <c r="AK6" s="19"/>
      <c r="AL6" s="24" t="s">
        <v>42</v>
      </c>
    </row>
    <row r="7" spans="1:38">
      <c r="A7" s="2"/>
      <c r="B7" s="1" t="s">
        <v>44</v>
      </c>
      <c r="C7" s="2" t="s">
        <v>285</v>
      </c>
      <c r="D7" s="2" t="s">
        <v>285</v>
      </c>
      <c r="E7" s="3" t="s">
        <v>40</v>
      </c>
      <c r="F7" s="3" t="s">
        <v>31</v>
      </c>
      <c r="G7" s="3"/>
      <c r="H7" s="20"/>
      <c r="I7" s="20"/>
      <c r="J7" s="21"/>
      <c r="K7" s="21"/>
      <c r="L7" s="20" t="s">
        <v>41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>
        <v>1111</v>
      </c>
      <c r="AC7" s="19"/>
      <c r="AD7" s="19"/>
      <c r="AE7" s="19"/>
      <c r="AF7" s="19"/>
      <c r="AG7" s="19" t="s">
        <v>35</v>
      </c>
      <c r="AH7" s="22" t="s">
        <v>36</v>
      </c>
      <c r="AI7" s="23" t="s">
        <v>37</v>
      </c>
      <c r="AJ7" s="19"/>
      <c r="AK7" s="19"/>
      <c r="AL7" s="24" t="s">
        <v>42</v>
      </c>
    </row>
    <row r="8" spans="1:38">
      <c r="A8" s="2"/>
      <c r="B8" s="1" t="s">
        <v>45</v>
      </c>
      <c r="C8" s="2" t="s">
        <v>286</v>
      </c>
      <c r="D8" s="2" t="s">
        <v>286</v>
      </c>
      <c r="E8" s="3" t="s">
        <v>40</v>
      </c>
      <c r="F8" s="3" t="s">
        <v>31</v>
      </c>
      <c r="G8" s="3"/>
      <c r="H8" s="20"/>
      <c r="I8" s="20"/>
      <c r="J8" s="21"/>
      <c r="K8" s="21"/>
      <c r="L8" s="20" t="s">
        <v>41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>
        <v>1111</v>
      </c>
      <c r="AC8" s="19"/>
      <c r="AD8" s="19"/>
      <c r="AE8" s="19"/>
      <c r="AF8" s="19"/>
      <c r="AG8" s="19" t="s">
        <v>35</v>
      </c>
      <c r="AH8" s="22" t="s">
        <v>36</v>
      </c>
      <c r="AI8" s="23" t="s">
        <v>37</v>
      </c>
      <c r="AJ8" s="19"/>
      <c r="AK8" s="19"/>
      <c r="AL8" s="24" t="s">
        <v>42</v>
      </c>
    </row>
    <row r="9" spans="1:38">
      <c r="A9" s="2"/>
      <c r="B9" s="1" t="s">
        <v>46</v>
      </c>
      <c r="C9" s="2" t="s">
        <v>287</v>
      </c>
      <c r="D9" s="2" t="s">
        <v>287</v>
      </c>
      <c r="E9" s="3" t="s">
        <v>40</v>
      </c>
      <c r="F9" s="3" t="s">
        <v>31</v>
      </c>
      <c r="G9" s="3"/>
      <c r="H9" s="20"/>
      <c r="I9" s="20"/>
      <c r="J9" s="21"/>
      <c r="K9" s="21"/>
      <c r="L9" s="20" t="s">
        <v>41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>
        <v>1111</v>
      </c>
      <c r="AC9" s="19"/>
      <c r="AD9" s="19"/>
      <c r="AE9" s="19"/>
      <c r="AF9" s="19"/>
      <c r="AG9" s="19" t="s">
        <v>35</v>
      </c>
      <c r="AH9" s="22" t="s">
        <v>36</v>
      </c>
      <c r="AI9" s="23" t="s">
        <v>37</v>
      </c>
      <c r="AJ9" s="19"/>
      <c r="AK9" s="19"/>
      <c r="AL9" s="24" t="s">
        <v>42</v>
      </c>
    </row>
    <row r="10" spans="1:38">
      <c r="A10" s="2"/>
      <c r="B10" s="1" t="s">
        <v>47</v>
      </c>
      <c r="C10" s="2" t="s">
        <v>288</v>
      </c>
      <c r="D10" s="2" t="s">
        <v>288</v>
      </c>
      <c r="E10" s="3" t="s">
        <v>40</v>
      </c>
      <c r="F10" s="3" t="s">
        <v>31</v>
      </c>
      <c r="G10" s="3"/>
      <c r="H10" s="20"/>
      <c r="I10" s="20"/>
      <c r="J10" s="21"/>
      <c r="K10" s="21"/>
      <c r="L10" s="20" t="s">
        <v>41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>
        <v>1111</v>
      </c>
      <c r="AC10" s="19"/>
      <c r="AD10" s="19"/>
      <c r="AE10" s="19"/>
      <c r="AF10" s="19"/>
      <c r="AG10" s="19" t="s">
        <v>35</v>
      </c>
      <c r="AH10" s="22" t="s">
        <v>36</v>
      </c>
      <c r="AI10" s="23" t="s">
        <v>37</v>
      </c>
      <c r="AJ10" s="19"/>
      <c r="AK10" s="19"/>
      <c r="AL10" s="24" t="s">
        <v>42</v>
      </c>
    </row>
    <row r="11" spans="1:38">
      <c r="A11" s="2"/>
      <c r="B11" s="1">
        <v>11000687</v>
      </c>
      <c r="C11" s="2" t="s">
        <v>289</v>
      </c>
      <c r="D11" s="2" t="s">
        <v>289</v>
      </c>
      <c r="E11" s="3" t="s">
        <v>40</v>
      </c>
      <c r="F11" s="3" t="s">
        <v>31</v>
      </c>
      <c r="G11" s="3"/>
      <c r="H11" s="20"/>
      <c r="I11" s="20"/>
      <c r="J11" s="21"/>
      <c r="K11" s="21"/>
      <c r="L11" s="20" t="s">
        <v>41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>
        <v>1111</v>
      </c>
      <c r="AC11" s="19"/>
      <c r="AD11" s="19"/>
      <c r="AE11" s="19"/>
      <c r="AF11" s="19"/>
      <c r="AG11" s="19" t="s">
        <v>35</v>
      </c>
      <c r="AH11" s="22" t="s">
        <v>36</v>
      </c>
      <c r="AI11" s="23" t="s">
        <v>37</v>
      </c>
      <c r="AJ11" s="19"/>
      <c r="AK11" s="19"/>
      <c r="AL11" s="24" t="s">
        <v>42</v>
      </c>
    </row>
    <row r="12" spans="1:38">
      <c r="A12" s="2"/>
      <c r="B12" s="1">
        <v>11000688</v>
      </c>
      <c r="C12" s="2" t="s">
        <v>290</v>
      </c>
      <c r="D12" s="2" t="s">
        <v>290</v>
      </c>
      <c r="E12" s="3" t="s">
        <v>40</v>
      </c>
      <c r="F12" s="3" t="s">
        <v>31</v>
      </c>
      <c r="G12" s="3"/>
      <c r="H12" s="20"/>
      <c r="I12" s="20"/>
      <c r="J12" s="21"/>
      <c r="K12" s="21"/>
      <c r="L12" s="20" t="s">
        <v>41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>
        <v>1111</v>
      </c>
      <c r="AC12" s="19"/>
      <c r="AD12" s="19"/>
      <c r="AE12" s="19"/>
      <c r="AF12" s="19"/>
      <c r="AG12" s="19" t="s">
        <v>35</v>
      </c>
      <c r="AH12" s="22" t="s">
        <v>36</v>
      </c>
      <c r="AI12" s="23" t="s">
        <v>37</v>
      </c>
      <c r="AJ12" s="19"/>
      <c r="AK12" s="19"/>
      <c r="AL12" s="24" t="s">
        <v>42</v>
      </c>
    </row>
    <row r="13" spans="1:38">
      <c r="A13" s="2"/>
      <c r="B13" s="1" t="s">
        <v>48</v>
      </c>
      <c r="C13" s="2" t="s">
        <v>291</v>
      </c>
      <c r="D13" s="2" t="s">
        <v>291</v>
      </c>
      <c r="E13" s="3" t="s">
        <v>40</v>
      </c>
      <c r="F13" s="3" t="s">
        <v>31</v>
      </c>
      <c r="G13" s="3"/>
      <c r="H13" s="20"/>
      <c r="I13" s="20"/>
      <c r="J13" s="21"/>
      <c r="K13" s="21"/>
      <c r="L13" s="20" t="s">
        <v>41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>
        <v>1111</v>
      </c>
      <c r="AC13" s="19"/>
      <c r="AD13" s="19"/>
      <c r="AE13" s="19"/>
      <c r="AF13" s="19"/>
      <c r="AG13" s="19" t="s">
        <v>35</v>
      </c>
      <c r="AH13" s="22" t="s">
        <v>36</v>
      </c>
      <c r="AI13" s="23" t="s">
        <v>37</v>
      </c>
      <c r="AJ13" s="19"/>
      <c r="AK13" s="19"/>
      <c r="AL13" s="24" t="s">
        <v>42</v>
      </c>
    </row>
    <row r="14" spans="1:38">
      <c r="A14" s="2"/>
      <c r="B14" s="1" t="s">
        <v>49</v>
      </c>
      <c r="C14" s="2" t="s">
        <v>292</v>
      </c>
      <c r="D14" s="2" t="s">
        <v>292</v>
      </c>
      <c r="E14" s="3" t="s">
        <v>40</v>
      </c>
      <c r="F14" s="3" t="s">
        <v>31</v>
      </c>
      <c r="G14" s="3"/>
      <c r="H14" s="20"/>
      <c r="I14" s="20"/>
      <c r="J14" s="21"/>
      <c r="K14" s="21"/>
      <c r="L14" s="20" t="s">
        <v>41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>
        <v>1111</v>
      </c>
      <c r="AC14" s="19"/>
      <c r="AD14" s="19"/>
      <c r="AE14" s="19"/>
      <c r="AF14" s="19"/>
      <c r="AG14" s="19" t="s">
        <v>35</v>
      </c>
      <c r="AH14" s="22" t="s">
        <v>36</v>
      </c>
      <c r="AI14" s="23" t="s">
        <v>37</v>
      </c>
      <c r="AJ14" s="19"/>
      <c r="AK14" s="19"/>
      <c r="AL14" s="24" t="s">
        <v>42</v>
      </c>
    </row>
    <row r="15" spans="1:38">
      <c r="A15" s="2"/>
      <c r="B15" s="1" t="s">
        <v>50</v>
      </c>
      <c r="C15" s="2" t="s">
        <v>293</v>
      </c>
      <c r="D15" s="2" t="s">
        <v>293</v>
      </c>
      <c r="E15" s="3" t="s">
        <v>40</v>
      </c>
      <c r="F15" s="3" t="s">
        <v>31</v>
      </c>
      <c r="G15" s="3"/>
      <c r="H15" s="20"/>
      <c r="I15" s="20"/>
      <c r="J15" s="21"/>
      <c r="K15" s="21"/>
      <c r="L15" s="20" t="s">
        <v>41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>
        <v>1111</v>
      </c>
      <c r="AC15" s="19"/>
      <c r="AD15" s="19"/>
      <c r="AE15" s="19"/>
      <c r="AF15" s="19"/>
      <c r="AG15" s="19" t="s">
        <v>35</v>
      </c>
      <c r="AH15" s="22" t="s">
        <v>36</v>
      </c>
      <c r="AI15" s="23" t="s">
        <v>37</v>
      </c>
      <c r="AJ15" s="19"/>
      <c r="AK15" s="19"/>
      <c r="AL15" s="24" t="s">
        <v>42</v>
      </c>
    </row>
    <row r="16" spans="1:38">
      <c r="A16" s="2"/>
      <c r="B16" s="1">
        <v>11000689</v>
      </c>
      <c r="C16" s="2" t="s">
        <v>294</v>
      </c>
      <c r="D16" s="2" t="s">
        <v>294</v>
      </c>
      <c r="E16" s="3" t="s">
        <v>40</v>
      </c>
      <c r="F16" s="3" t="s">
        <v>31</v>
      </c>
      <c r="G16" s="3"/>
      <c r="H16" s="20"/>
      <c r="I16" s="20"/>
      <c r="J16" s="21"/>
      <c r="K16" s="21"/>
      <c r="L16" s="20" t="s">
        <v>41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>
        <v>1111</v>
      </c>
      <c r="AC16" s="19"/>
      <c r="AD16" s="19"/>
      <c r="AE16" s="19"/>
      <c r="AF16" s="19"/>
      <c r="AG16" s="19" t="s">
        <v>35</v>
      </c>
      <c r="AH16" s="22" t="s">
        <v>36</v>
      </c>
      <c r="AI16" s="23" t="s">
        <v>37</v>
      </c>
      <c r="AJ16" s="19"/>
      <c r="AK16" s="19"/>
      <c r="AL16" s="24" t="s">
        <v>42</v>
      </c>
    </row>
    <row r="17" spans="1:38">
      <c r="A17" s="2"/>
      <c r="B17" s="1" t="s">
        <v>51</v>
      </c>
      <c r="C17" s="2" t="s">
        <v>295</v>
      </c>
      <c r="D17" s="2" t="s">
        <v>295</v>
      </c>
      <c r="E17" s="3" t="s">
        <v>40</v>
      </c>
      <c r="F17" s="3" t="s">
        <v>31</v>
      </c>
      <c r="G17" s="3"/>
      <c r="H17" s="20"/>
      <c r="I17" s="20"/>
      <c r="J17" s="21"/>
      <c r="K17" s="21"/>
      <c r="L17" s="20" t="s">
        <v>41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>
        <v>1111</v>
      </c>
      <c r="AC17" s="19"/>
      <c r="AD17" s="19"/>
      <c r="AE17" s="19"/>
      <c r="AF17" s="19"/>
      <c r="AG17" s="19" t="s">
        <v>35</v>
      </c>
      <c r="AH17" s="22" t="s">
        <v>36</v>
      </c>
      <c r="AI17" s="23" t="s">
        <v>37</v>
      </c>
      <c r="AJ17" s="19"/>
      <c r="AK17" s="19"/>
      <c r="AL17" s="24" t="s">
        <v>42</v>
      </c>
    </row>
    <row r="18" spans="1:38">
      <c r="A18" s="2"/>
      <c r="B18" s="1" t="s">
        <v>52</v>
      </c>
      <c r="C18" s="2" t="s">
        <v>296</v>
      </c>
      <c r="D18" s="2" t="s">
        <v>296</v>
      </c>
      <c r="E18" s="3" t="s">
        <v>40</v>
      </c>
      <c r="F18" s="3" t="s">
        <v>31</v>
      </c>
      <c r="G18" s="3"/>
      <c r="H18" s="20"/>
      <c r="I18" s="20"/>
      <c r="J18" s="21"/>
      <c r="K18" s="21"/>
      <c r="L18" s="20" t="s">
        <v>41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>
        <v>1111</v>
      </c>
      <c r="AC18" s="19"/>
      <c r="AD18" s="19"/>
      <c r="AE18" s="19"/>
      <c r="AF18" s="19"/>
      <c r="AG18" s="19" t="s">
        <v>35</v>
      </c>
      <c r="AH18" s="22" t="s">
        <v>36</v>
      </c>
      <c r="AI18" s="23" t="s">
        <v>37</v>
      </c>
      <c r="AJ18" s="19"/>
      <c r="AK18" s="19"/>
      <c r="AL18" s="24" t="s">
        <v>42</v>
      </c>
    </row>
    <row r="19" spans="1:38">
      <c r="A19" s="2"/>
      <c r="B19" s="1" t="s">
        <v>53</v>
      </c>
      <c r="C19" s="2" t="s">
        <v>297</v>
      </c>
      <c r="D19" s="2" t="s">
        <v>297</v>
      </c>
      <c r="E19" s="3" t="s">
        <v>40</v>
      </c>
      <c r="F19" s="3" t="s">
        <v>31</v>
      </c>
      <c r="G19" s="3"/>
      <c r="H19" s="20"/>
      <c r="I19" s="20"/>
      <c r="J19" s="21"/>
      <c r="K19" s="21"/>
      <c r="L19" s="20" t="s">
        <v>41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>
        <v>1111</v>
      </c>
      <c r="AC19" s="19"/>
      <c r="AD19" s="19"/>
      <c r="AE19" s="19"/>
      <c r="AF19" s="19"/>
      <c r="AG19" s="19" t="s">
        <v>35</v>
      </c>
      <c r="AH19" s="22" t="s">
        <v>36</v>
      </c>
      <c r="AI19" s="23" t="s">
        <v>37</v>
      </c>
      <c r="AJ19" s="19"/>
      <c r="AK19" s="19"/>
      <c r="AL19" s="24" t="s">
        <v>42</v>
      </c>
    </row>
    <row r="20" spans="1:38">
      <c r="A20" s="2"/>
      <c r="B20" s="1" t="s">
        <v>54</v>
      </c>
      <c r="C20" s="2" t="s">
        <v>298</v>
      </c>
      <c r="D20" s="2" t="s">
        <v>298</v>
      </c>
      <c r="E20" s="3" t="s">
        <v>40</v>
      </c>
      <c r="F20" s="3" t="s">
        <v>31</v>
      </c>
      <c r="G20" s="3"/>
      <c r="H20" s="20"/>
      <c r="I20" s="20"/>
      <c r="J20" s="21"/>
      <c r="K20" s="21"/>
      <c r="L20" s="20" t="s">
        <v>41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>
        <v>1111</v>
      </c>
      <c r="AC20" s="19"/>
      <c r="AD20" s="19"/>
      <c r="AE20" s="19"/>
      <c r="AF20" s="19"/>
      <c r="AG20" s="19" t="s">
        <v>35</v>
      </c>
      <c r="AH20" s="22" t="s">
        <v>36</v>
      </c>
      <c r="AI20" s="23" t="s">
        <v>37</v>
      </c>
      <c r="AJ20" s="19"/>
      <c r="AK20" s="19"/>
      <c r="AL20" s="24" t="s">
        <v>42</v>
      </c>
    </row>
    <row r="21" spans="1:38">
      <c r="A21" s="2"/>
      <c r="B21" s="1" t="s">
        <v>55</v>
      </c>
      <c r="C21" s="2" t="s">
        <v>299</v>
      </c>
      <c r="D21" s="2" t="s">
        <v>299</v>
      </c>
      <c r="E21" s="3" t="s">
        <v>40</v>
      </c>
      <c r="F21" s="3" t="s">
        <v>31</v>
      </c>
      <c r="G21" s="3"/>
      <c r="H21" s="20"/>
      <c r="I21" s="20"/>
      <c r="J21" s="21"/>
      <c r="K21" s="21"/>
      <c r="L21" s="20" t="s">
        <v>41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>
        <v>1111</v>
      </c>
      <c r="AC21" s="19"/>
      <c r="AD21" s="19"/>
      <c r="AE21" s="19"/>
      <c r="AF21" s="19"/>
      <c r="AG21" s="19" t="s">
        <v>35</v>
      </c>
      <c r="AH21" s="22" t="s">
        <v>36</v>
      </c>
      <c r="AI21" s="23" t="s">
        <v>37</v>
      </c>
      <c r="AJ21" s="19"/>
      <c r="AK21" s="19"/>
      <c r="AL21" s="24" t="s">
        <v>42</v>
      </c>
    </row>
    <row r="22" spans="1:38">
      <c r="A22" s="2"/>
      <c r="B22" s="1" t="s">
        <v>56</v>
      </c>
      <c r="C22" s="2" t="s">
        <v>300</v>
      </c>
      <c r="D22" s="2" t="s">
        <v>300</v>
      </c>
      <c r="E22" s="3" t="s">
        <v>40</v>
      </c>
      <c r="F22" s="3" t="s">
        <v>31</v>
      </c>
      <c r="G22" s="3"/>
      <c r="H22" s="20"/>
      <c r="I22" s="20"/>
      <c r="J22" s="21"/>
      <c r="K22" s="21"/>
      <c r="L22" s="20" t="s">
        <v>41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>
        <v>1111</v>
      </c>
      <c r="AC22" s="19"/>
      <c r="AD22" s="19"/>
      <c r="AE22" s="19"/>
      <c r="AF22" s="19"/>
      <c r="AG22" s="19" t="s">
        <v>35</v>
      </c>
      <c r="AH22" s="22" t="s">
        <v>36</v>
      </c>
      <c r="AI22" s="23" t="s">
        <v>37</v>
      </c>
      <c r="AJ22" s="19"/>
      <c r="AK22" s="19"/>
      <c r="AL22" s="24" t="s">
        <v>42</v>
      </c>
    </row>
    <row r="23" spans="1:38">
      <c r="A23" s="2"/>
      <c r="B23" s="1" t="s">
        <v>57</v>
      </c>
      <c r="C23" s="2" t="s">
        <v>301</v>
      </c>
      <c r="D23" s="2" t="s">
        <v>301</v>
      </c>
      <c r="E23" s="3" t="s">
        <v>40</v>
      </c>
      <c r="F23" s="3" t="s">
        <v>31</v>
      </c>
      <c r="G23" s="3"/>
      <c r="H23" s="20"/>
      <c r="I23" s="20"/>
      <c r="J23" s="21"/>
      <c r="K23" s="21"/>
      <c r="L23" s="20" t="s">
        <v>41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>
        <v>1111</v>
      </c>
      <c r="AC23" s="19"/>
      <c r="AD23" s="19"/>
      <c r="AE23" s="19"/>
      <c r="AF23" s="19"/>
      <c r="AG23" s="19" t="s">
        <v>35</v>
      </c>
      <c r="AH23" s="22" t="s">
        <v>36</v>
      </c>
      <c r="AI23" s="23" t="s">
        <v>37</v>
      </c>
      <c r="AJ23" s="19"/>
      <c r="AK23" s="19"/>
      <c r="AL23" s="24" t="s">
        <v>42</v>
      </c>
    </row>
    <row r="24" spans="1:38">
      <c r="A24" s="2"/>
      <c r="B24" s="1" t="s">
        <v>58</v>
      </c>
      <c r="C24" s="2" t="s">
        <v>302</v>
      </c>
      <c r="D24" s="2" t="s">
        <v>302</v>
      </c>
      <c r="E24" s="3" t="s">
        <v>40</v>
      </c>
      <c r="F24" s="3" t="s">
        <v>31</v>
      </c>
      <c r="G24" s="3"/>
      <c r="H24" s="20"/>
      <c r="I24" s="20"/>
      <c r="J24" s="21"/>
      <c r="K24" s="21"/>
      <c r="L24" s="20" t="s">
        <v>41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>
        <v>1111</v>
      </c>
      <c r="AC24" s="19"/>
      <c r="AD24" s="19"/>
      <c r="AE24" s="19"/>
      <c r="AF24" s="19"/>
      <c r="AG24" s="19" t="s">
        <v>35</v>
      </c>
      <c r="AH24" s="22" t="s">
        <v>36</v>
      </c>
      <c r="AI24" s="23" t="s">
        <v>37</v>
      </c>
      <c r="AJ24" s="19"/>
      <c r="AK24" s="19"/>
      <c r="AL24" s="24" t="s">
        <v>42</v>
      </c>
    </row>
    <row r="25" spans="1:38">
      <c r="A25" s="2"/>
      <c r="B25" s="1" t="s">
        <v>59</v>
      </c>
      <c r="C25" s="2" t="s">
        <v>303</v>
      </c>
      <c r="D25" s="2" t="s">
        <v>303</v>
      </c>
      <c r="E25" s="3" t="s">
        <v>40</v>
      </c>
      <c r="F25" s="3" t="s">
        <v>31</v>
      </c>
      <c r="G25" s="3"/>
      <c r="H25" s="20"/>
      <c r="I25" s="20"/>
      <c r="J25" s="21"/>
      <c r="K25" s="21"/>
      <c r="L25" s="20" t="s">
        <v>41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>
        <v>1111</v>
      </c>
      <c r="AC25" s="19"/>
      <c r="AD25" s="19"/>
      <c r="AE25" s="19"/>
      <c r="AF25" s="19"/>
      <c r="AG25" s="19" t="s">
        <v>35</v>
      </c>
      <c r="AH25" s="22" t="s">
        <v>36</v>
      </c>
      <c r="AI25" s="23" t="s">
        <v>37</v>
      </c>
      <c r="AJ25" s="19"/>
      <c r="AK25" s="19"/>
      <c r="AL25" s="24" t="s">
        <v>42</v>
      </c>
    </row>
    <row r="26" spans="1:38">
      <c r="A26" s="2"/>
      <c r="B26" s="1" t="s">
        <v>60</v>
      </c>
      <c r="C26" s="2" t="s">
        <v>304</v>
      </c>
      <c r="D26" s="2" t="s">
        <v>304</v>
      </c>
      <c r="E26" s="3" t="s">
        <v>40</v>
      </c>
      <c r="F26" s="3" t="s">
        <v>31</v>
      </c>
      <c r="G26" s="3"/>
      <c r="H26" s="20"/>
      <c r="I26" s="20"/>
      <c r="J26" s="21"/>
      <c r="K26" s="21"/>
      <c r="L26" s="20" t="s">
        <v>41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>
        <v>1111</v>
      </c>
      <c r="AC26" s="19"/>
      <c r="AD26" s="19"/>
      <c r="AE26" s="19"/>
      <c r="AF26" s="19"/>
      <c r="AG26" s="19" t="s">
        <v>35</v>
      </c>
      <c r="AH26" s="22" t="s">
        <v>36</v>
      </c>
      <c r="AI26" s="23" t="s">
        <v>37</v>
      </c>
      <c r="AJ26" s="19"/>
      <c r="AK26" s="19"/>
      <c r="AL26" s="24" t="s">
        <v>42</v>
      </c>
    </row>
    <row r="27" spans="1:38">
      <c r="A27" s="2"/>
      <c r="B27" s="1" t="s">
        <v>61</v>
      </c>
      <c r="C27" s="2" t="s">
        <v>305</v>
      </c>
      <c r="D27" s="2" t="s">
        <v>305</v>
      </c>
      <c r="E27" s="3" t="s">
        <v>40</v>
      </c>
      <c r="F27" s="3" t="s">
        <v>31</v>
      </c>
      <c r="G27" s="3"/>
      <c r="H27" s="20"/>
      <c r="I27" s="20"/>
      <c r="J27" s="21"/>
      <c r="K27" s="21"/>
      <c r="L27" s="20" t="s">
        <v>41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>
        <v>1111</v>
      </c>
      <c r="AC27" s="19"/>
      <c r="AD27" s="19"/>
      <c r="AE27" s="19"/>
      <c r="AF27" s="19"/>
      <c r="AG27" s="19" t="s">
        <v>35</v>
      </c>
      <c r="AH27" s="22" t="s">
        <v>36</v>
      </c>
      <c r="AI27" s="23" t="s">
        <v>37</v>
      </c>
      <c r="AJ27" s="19"/>
      <c r="AK27" s="19"/>
      <c r="AL27" s="24" t="s">
        <v>42</v>
      </c>
    </row>
    <row r="28" spans="1:38">
      <c r="A28" s="2"/>
      <c r="B28" s="1" t="s">
        <v>62</v>
      </c>
      <c r="C28" s="2" t="s">
        <v>306</v>
      </c>
      <c r="D28" s="2" t="s">
        <v>306</v>
      </c>
      <c r="E28" s="3" t="s">
        <v>40</v>
      </c>
      <c r="F28" s="3" t="s">
        <v>31</v>
      </c>
      <c r="G28" s="3"/>
      <c r="H28" s="20"/>
      <c r="I28" s="20"/>
      <c r="J28" s="21"/>
      <c r="K28" s="21"/>
      <c r="L28" s="20" t="s">
        <v>41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>
        <v>1111</v>
      </c>
      <c r="AC28" s="19"/>
      <c r="AD28" s="19"/>
      <c r="AE28" s="19"/>
      <c r="AF28" s="19"/>
      <c r="AG28" s="19" t="s">
        <v>35</v>
      </c>
      <c r="AH28" s="22" t="s">
        <v>36</v>
      </c>
      <c r="AI28" s="23" t="s">
        <v>37</v>
      </c>
      <c r="AJ28" s="19"/>
      <c r="AK28" s="19"/>
      <c r="AL28" s="24" t="s">
        <v>42</v>
      </c>
    </row>
    <row r="29" spans="1:38">
      <c r="A29" s="2"/>
      <c r="B29" s="1" t="s">
        <v>63</v>
      </c>
      <c r="C29" s="2" t="s">
        <v>307</v>
      </c>
      <c r="D29" s="2" t="s">
        <v>307</v>
      </c>
      <c r="E29" s="3" t="s">
        <v>40</v>
      </c>
      <c r="F29" s="3" t="s">
        <v>31</v>
      </c>
      <c r="G29" s="3"/>
      <c r="H29" s="20"/>
      <c r="I29" s="20"/>
      <c r="J29" s="21"/>
      <c r="K29" s="21"/>
      <c r="L29" s="20" t="s">
        <v>41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>
        <v>1112</v>
      </c>
      <c r="AC29" s="19"/>
      <c r="AD29" s="19"/>
      <c r="AE29" s="19"/>
      <c r="AF29" s="19"/>
      <c r="AG29" s="19" t="s">
        <v>35</v>
      </c>
      <c r="AH29" s="22" t="s">
        <v>36</v>
      </c>
      <c r="AI29" s="23" t="s">
        <v>37</v>
      </c>
      <c r="AJ29" s="19"/>
      <c r="AK29" s="19"/>
      <c r="AL29" s="24" t="s">
        <v>42</v>
      </c>
    </row>
    <row r="30" spans="1:38">
      <c r="A30" s="2"/>
      <c r="B30" s="1" t="s">
        <v>64</v>
      </c>
      <c r="C30" s="2" t="s">
        <v>308</v>
      </c>
      <c r="D30" s="2" t="s">
        <v>308</v>
      </c>
      <c r="E30" s="3" t="s">
        <v>40</v>
      </c>
      <c r="F30" s="3" t="s">
        <v>31</v>
      </c>
      <c r="G30" s="3"/>
      <c r="H30" s="20"/>
      <c r="I30" s="20"/>
      <c r="J30" s="21"/>
      <c r="K30" s="21"/>
      <c r="L30" s="20" t="s">
        <v>41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>
        <v>1112</v>
      </c>
      <c r="AC30" s="19"/>
      <c r="AD30" s="19"/>
      <c r="AE30" s="19"/>
      <c r="AF30" s="19"/>
      <c r="AG30" s="19" t="s">
        <v>35</v>
      </c>
      <c r="AH30" s="22" t="s">
        <v>36</v>
      </c>
      <c r="AI30" s="23" t="s">
        <v>37</v>
      </c>
      <c r="AJ30" s="19"/>
      <c r="AK30" s="19"/>
      <c r="AL30" s="24" t="s">
        <v>42</v>
      </c>
    </row>
    <row r="31" spans="1:38">
      <c r="A31" s="2"/>
      <c r="B31" s="1" t="s">
        <v>65</v>
      </c>
      <c r="C31" s="2" t="s">
        <v>309</v>
      </c>
      <c r="D31" s="2" t="s">
        <v>309</v>
      </c>
      <c r="E31" s="3" t="s">
        <v>40</v>
      </c>
      <c r="F31" s="3" t="s">
        <v>31</v>
      </c>
      <c r="G31" s="3"/>
      <c r="H31" s="20"/>
      <c r="I31" s="20"/>
      <c r="J31" s="21"/>
      <c r="K31" s="21"/>
      <c r="L31" s="20" t="s">
        <v>41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>
        <v>1112</v>
      </c>
      <c r="AC31" s="19"/>
      <c r="AD31" s="19"/>
      <c r="AE31" s="19"/>
      <c r="AF31" s="19"/>
      <c r="AG31" s="19" t="s">
        <v>35</v>
      </c>
      <c r="AH31" s="22" t="s">
        <v>36</v>
      </c>
      <c r="AI31" s="23" t="s">
        <v>37</v>
      </c>
      <c r="AJ31" s="19"/>
      <c r="AK31" s="19"/>
      <c r="AL31" s="24" t="s">
        <v>42</v>
      </c>
    </row>
    <row r="32" spans="1:38">
      <c r="A32" s="2"/>
      <c r="B32" s="1" t="s">
        <v>66</v>
      </c>
      <c r="C32" s="2" t="s">
        <v>310</v>
      </c>
      <c r="D32" s="2" t="s">
        <v>310</v>
      </c>
      <c r="E32" s="3" t="s">
        <v>40</v>
      </c>
      <c r="F32" s="3" t="s">
        <v>31</v>
      </c>
      <c r="G32" s="3"/>
      <c r="H32" s="20"/>
      <c r="I32" s="20"/>
      <c r="J32" s="21"/>
      <c r="K32" s="21"/>
      <c r="L32" s="20" t="s">
        <v>41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>
        <v>1112</v>
      </c>
      <c r="AC32" s="19"/>
      <c r="AD32" s="19"/>
      <c r="AE32" s="19"/>
      <c r="AF32" s="19"/>
      <c r="AG32" s="19" t="s">
        <v>35</v>
      </c>
      <c r="AH32" s="22" t="s">
        <v>36</v>
      </c>
      <c r="AI32" s="23" t="s">
        <v>37</v>
      </c>
      <c r="AJ32" s="19"/>
      <c r="AK32" s="19"/>
      <c r="AL32" s="24" t="s">
        <v>42</v>
      </c>
    </row>
    <row r="33" spans="1:38">
      <c r="A33" s="2"/>
      <c r="B33" s="1" t="s">
        <v>67</v>
      </c>
      <c r="C33" s="2" t="s">
        <v>311</v>
      </c>
      <c r="D33" s="2" t="s">
        <v>311</v>
      </c>
      <c r="E33" s="3" t="s">
        <v>40</v>
      </c>
      <c r="F33" s="3" t="s">
        <v>31</v>
      </c>
      <c r="G33" s="3"/>
      <c r="H33" s="20"/>
      <c r="I33" s="20"/>
      <c r="J33" s="21"/>
      <c r="K33" s="21"/>
      <c r="L33" s="20" t="s">
        <v>41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>
        <v>1112</v>
      </c>
      <c r="AC33" s="19"/>
      <c r="AD33" s="19"/>
      <c r="AE33" s="19"/>
      <c r="AF33" s="19"/>
      <c r="AG33" s="19" t="s">
        <v>35</v>
      </c>
      <c r="AH33" s="22" t="s">
        <v>36</v>
      </c>
      <c r="AI33" s="23" t="s">
        <v>37</v>
      </c>
      <c r="AJ33" s="19"/>
      <c r="AK33" s="19"/>
      <c r="AL33" s="24" t="s">
        <v>42</v>
      </c>
    </row>
    <row r="34" spans="1:38">
      <c r="A34" s="2"/>
      <c r="B34" s="1" t="s">
        <v>68</v>
      </c>
      <c r="C34" s="2" t="s">
        <v>312</v>
      </c>
      <c r="D34" s="2" t="s">
        <v>312</v>
      </c>
      <c r="E34" s="3" t="s">
        <v>40</v>
      </c>
      <c r="F34" s="3" t="s">
        <v>31</v>
      </c>
      <c r="G34" s="3"/>
      <c r="H34" s="20"/>
      <c r="I34" s="20"/>
      <c r="J34" s="21"/>
      <c r="K34" s="21"/>
      <c r="L34" s="20" t="s">
        <v>41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>
        <v>1112</v>
      </c>
      <c r="AC34" s="19"/>
      <c r="AD34" s="19"/>
      <c r="AE34" s="19"/>
      <c r="AF34" s="19"/>
      <c r="AG34" s="19" t="s">
        <v>35</v>
      </c>
      <c r="AH34" s="22" t="s">
        <v>36</v>
      </c>
      <c r="AI34" s="23" t="s">
        <v>37</v>
      </c>
      <c r="AJ34" s="19"/>
      <c r="AK34" s="19"/>
      <c r="AL34" s="24" t="s">
        <v>42</v>
      </c>
    </row>
    <row r="35" spans="1:38">
      <c r="A35" s="2"/>
      <c r="B35" s="1">
        <v>11000693</v>
      </c>
      <c r="C35" s="2" t="s">
        <v>313</v>
      </c>
      <c r="D35" s="2" t="s">
        <v>313</v>
      </c>
      <c r="E35" s="3" t="s">
        <v>40</v>
      </c>
      <c r="F35" s="3" t="s">
        <v>31</v>
      </c>
      <c r="G35" s="3"/>
      <c r="H35" s="20"/>
      <c r="I35" s="20"/>
      <c r="J35" s="21"/>
      <c r="K35" s="21"/>
      <c r="L35" s="20" t="s">
        <v>41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>
        <v>1112</v>
      </c>
      <c r="AC35" s="19"/>
      <c r="AD35" s="19"/>
      <c r="AE35" s="19"/>
      <c r="AF35" s="19"/>
      <c r="AG35" s="19" t="s">
        <v>35</v>
      </c>
      <c r="AH35" s="22" t="s">
        <v>36</v>
      </c>
      <c r="AI35" s="23" t="s">
        <v>37</v>
      </c>
      <c r="AJ35" s="19"/>
      <c r="AK35" s="19"/>
      <c r="AL35" s="24" t="s">
        <v>42</v>
      </c>
    </row>
    <row r="36" spans="1:38">
      <c r="A36" s="2"/>
      <c r="B36" s="1">
        <v>11000694</v>
      </c>
      <c r="C36" s="2" t="s">
        <v>314</v>
      </c>
      <c r="D36" s="2" t="s">
        <v>314</v>
      </c>
      <c r="E36" s="3" t="s">
        <v>40</v>
      </c>
      <c r="F36" s="3" t="s">
        <v>31</v>
      </c>
      <c r="G36" s="3"/>
      <c r="H36" s="20"/>
      <c r="I36" s="20"/>
      <c r="J36" s="21"/>
      <c r="K36" s="21"/>
      <c r="L36" s="20" t="s">
        <v>41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>
        <v>1112</v>
      </c>
      <c r="AC36" s="19"/>
      <c r="AD36" s="19"/>
      <c r="AE36" s="19"/>
      <c r="AF36" s="19"/>
      <c r="AG36" s="19" t="s">
        <v>35</v>
      </c>
      <c r="AH36" s="22" t="s">
        <v>36</v>
      </c>
      <c r="AI36" s="23" t="s">
        <v>37</v>
      </c>
      <c r="AJ36" s="19"/>
      <c r="AK36" s="19"/>
      <c r="AL36" s="24" t="s">
        <v>42</v>
      </c>
    </row>
    <row r="37" spans="1:38">
      <c r="A37" s="2"/>
      <c r="B37" s="1" t="s">
        <v>69</v>
      </c>
      <c r="C37" s="2" t="s">
        <v>315</v>
      </c>
      <c r="D37" s="2" t="s">
        <v>315</v>
      </c>
      <c r="E37" s="3" t="s">
        <v>40</v>
      </c>
      <c r="F37" s="3" t="s">
        <v>31</v>
      </c>
      <c r="G37" s="3"/>
      <c r="H37" s="20"/>
      <c r="I37" s="20"/>
      <c r="J37" s="21"/>
      <c r="K37" s="21"/>
      <c r="L37" s="20" t="s">
        <v>41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>
        <v>1112</v>
      </c>
      <c r="AC37" s="19"/>
      <c r="AD37" s="19"/>
      <c r="AE37" s="19"/>
      <c r="AF37" s="19"/>
      <c r="AG37" s="19" t="s">
        <v>35</v>
      </c>
      <c r="AH37" s="22" t="s">
        <v>36</v>
      </c>
      <c r="AI37" s="23" t="s">
        <v>37</v>
      </c>
      <c r="AJ37" s="19"/>
      <c r="AK37" s="19"/>
      <c r="AL37" s="24" t="s">
        <v>42</v>
      </c>
    </row>
    <row r="38" spans="1:38">
      <c r="A38" s="2"/>
      <c r="B38" s="1" t="s">
        <v>70</v>
      </c>
      <c r="C38" s="2" t="s">
        <v>316</v>
      </c>
      <c r="D38" s="2" t="s">
        <v>316</v>
      </c>
      <c r="E38" s="3" t="s">
        <v>40</v>
      </c>
      <c r="F38" s="3" t="s">
        <v>31</v>
      </c>
      <c r="G38" s="3"/>
      <c r="H38" s="20"/>
      <c r="I38" s="20"/>
      <c r="J38" s="21"/>
      <c r="K38" s="21"/>
      <c r="L38" s="20" t="s">
        <v>41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>
        <v>1112</v>
      </c>
      <c r="AC38" s="19"/>
      <c r="AD38" s="19"/>
      <c r="AE38" s="19"/>
      <c r="AF38" s="19"/>
      <c r="AG38" s="19" t="s">
        <v>35</v>
      </c>
      <c r="AH38" s="22" t="s">
        <v>36</v>
      </c>
      <c r="AI38" s="23" t="s">
        <v>37</v>
      </c>
      <c r="AJ38" s="19"/>
      <c r="AK38" s="19"/>
      <c r="AL38" s="24" t="s">
        <v>42</v>
      </c>
    </row>
    <row r="39" spans="1:38">
      <c r="A39" s="2"/>
      <c r="B39" s="1" t="s">
        <v>71</v>
      </c>
      <c r="C39" s="2" t="s">
        <v>317</v>
      </c>
      <c r="D39" s="2" t="s">
        <v>317</v>
      </c>
      <c r="E39" s="3" t="s">
        <v>40</v>
      </c>
      <c r="F39" s="3" t="s">
        <v>31</v>
      </c>
      <c r="G39" s="3"/>
      <c r="H39" s="20"/>
      <c r="I39" s="20"/>
      <c r="J39" s="21"/>
      <c r="K39" s="21"/>
      <c r="L39" s="20" t="s">
        <v>41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>
        <v>1112</v>
      </c>
      <c r="AC39" s="19"/>
      <c r="AD39" s="19"/>
      <c r="AE39" s="19"/>
      <c r="AF39" s="19"/>
      <c r="AG39" s="19" t="s">
        <v>35</v>
      </c>
      <c r="AH39" s="22" t="s">
        <v>36</v>
      </c>
      <c r="AI39" s="23" t="s">
        <v>37</v>
      </c>
      <c r="AJ39" s="19"/>
      <c r="AK39" s="19"/>
      <c r="AL39" s="24" t="s">
        <v>42</v>
      </c>
    </row>
    <row r="40" spans="1:38">
      <c r="A40" s="2"/>
      <c r="B40" s="1" t="s">
        <v>72</v>
      </c>
      <c r="C40" s="2" t="s">
        <v>318</v>
      </c>
      <c r="D40" s="2" t="s">
        <v>318</v>
      </c>
      <c r="E40" s="3" t="s">
        <v>40</v>
      </c>
      <c r="F40" s="3" t="s">
        <v>31</v>
      </c>
      <c r="G40" s="3"/>
      <c r="H40" s="20"/>
      <c r="I40" s="20"/>
      <c r="J40" s="21"/>
      <c r="K40" s="21"/>
      <c r="L40" s="20" t="s">
        <v>41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>
        <v>1112</v>
      </c>
      <c r="AC40" s="19"/>
      <c r="AD40" s="19"/>
      <c r="AE40" s="19"/>
      <c r="AF40" s="19"/>
      <c r="AG40" s="19" t="s">
        <v>35</v>
      </c>
      <c r="AH40" s="22" t="s">
        <v>36</v>
      </c>
      <c r="AI40" s="23" t="s">
        <v>37</v>
      </c>
      <c r="AJ40" s="19"/>
      <c r="AK40" s="19"/>
      <c r="AL40" s="24" t="s">
        <v>42</v>
      </c>
    </row>
    <row r="41" spans="1:38">
      <c r="A41" s="2"/>
      <c r="B41" s="1" t="s">
        <v>73</v>
      </c>
      <c r="C41" s="2" t="s">
        <v>319</v>
      </c>
      <c r="D41" s="2" t="s">
        <v>319</v>
      </c>
      <c r="E41" s="3" t="s">
        <v>40</v>
      </c>
      <c r="F41" s="3" t="s">
        <v>31</v>
      </c>
      <c r="G41" s="3"/>
      <c r="H41" s="20"/>
      <c r="I41" s="20"/>
      <c r="J41" s="21"/>
      <c r="K41" s="21"/>
      <c r="L41" s="20" t="s">
        <v>41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>
        <v>1112</v>
      </c>
      <c r="AC41" s="19"/>
      <c r="AD41" s="19"/>
      <c r="AE41" s="19"/>
      <c r="AF41" s="19"/>
      <c r="AG41" s="19" t="s">
        <v>35</v>
      </c>
      <c r="AH41" s="22" t="s">
        <v>36</v>
      </c>
      <c r="AI41" s="23" t="s">
        <v>37</v>
      </c>
      <c r="AJ41" s="19"/>
      <c r="AK41" s="19"/>
      <c r="AL41" s="24" t="s">
        <v>42</v>
      </c>
    </row>
    <row r="42" spans="1:38">
      <c r="A42" s="2"/>
      <c r="B42" s="1" t="s">
        <v>74</v>
      </c>
      <c r="C42" s="2" t="s">
        <v>320</v>
      </c>
      <c r="D42" s="2" t="s">
        <v>320</v>
      </c>
      <c r="E42" s="3" t="s">
        <v>40</v>
      </c>
      <c r="F42" s="3" t="s">
        <v>31</v>
      </c>
      <c r="G42" s="3"/>
      <c r="H42" s="20"/>
      <c r="I42" s="20"/>
      <c r="J42" s="21"/>
      <c r="K42" s="21"/>
      <c r="L42" s="20" t="s">
        <v>41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>
        <v>1112</v>
      </c>
      <c r="AC42" s="19"/>
      <c r="AD42" s="19"/>
      <c r="AE42" s="19"/>
      <c r="AF42" s="19"/>
      <c r="AG42" s="19" t="s">
        <v>35</v>
      </c>
      <c r="AH42" s="22" t="s">
        <v>36</v>
      </c>
      <c r="AI42" s="23" t="s">
        <v>37</v>
      </c>
      <c r="AJ42" s="19"/>
      <c r="AK42" s="19"/>
      <c r="AL42" s="24" t="s">
        <v>42</v>
      </c>
    </row>
    <row r="43" spans="1:38">
      <c r="A43" s="2"/>
      <c r="B43" s="1" t="s">
        <v>75</v>
      </c>
      <c r="C43" s="2" t="s">
        <v>321</v>
      </c>
      <c r="D43" s="2" t="s">
        <v>321</v>
      </c>
      <c r="E43" s="3" t="s">
        <v>40</v>
      </c>
      <c r="F43" s="3" t="s">
        <v>31</v>
      </c>
      <c r="G43" s="3"/>
      <c r="H43" s="20"/>
      <c r="I43" s="20"/>
      <c r="J43" s="21"/>
      <c r="K43" s="21"/>
      <c r="L43" s="20" t="s">
        <v>41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>
        <v>1112</v>
      </c>
      <c r="AC43" s="19"/>
      <c r="AD43" s="19"/>
      <c r="AE43" s="19"/>
      <c r="AF43" s="19"/>
      <c r="AG43" s="19" t="s">
        <v>35</v>
      </c>
      <c r="AH43" s="22" t="s">
        <v>36</v>
      </c>
      <c r="AI43" s="23" t="s">
        <v>37</v>
      </c>
      <c r="AJ43" s="19"/>
      <c r="AK43" s="19"/>
      <c r="AL43" s="24" t="s">
        <v>42</v>
      </c>
    </row>
    <row r="44" spans="1:38">
      <c r="A44" s="2"/>
      <c r="B44" s="1" t="s">
        <v>76</v>
      </c>
      <c r="C44" s="2" t="s">
        <v>322</v>
      </c>
      <c r="D44" s="2" t="s">
        <v>322</v>
      </c>
      <c r="E44" s="3" t="s">
        <v>40</v>
      </c>
      <c r="F44" s="3" t="s">
        <v>31</v>
      </c>
      <c r="G44" s="3"/>
      <c r="H44" s="20"/>
      <c r="I44" s="20"/>
      <c r="J44" s="21"/>
      <c r="K44" s="21"/>
      <c r="L44" s="20" t="s">
        <v>41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>
        <v>1112</v>
      </c>
      <c r="AC44" s="19"/>
      <c r="AD44" s="19"/>
      <c r="AE44" s="19"/>
      <c r="AF44" s="19"/>
      <c r="AG44" s="19" t="s">
        <v>35</v>
      </c>
      <c r="AH44" s="22" t="s">
        <v>36</v>
      </c>
      <c r="AI44" s="23" t="s">
        <v>37</v>
      </c>
      <c r="AJ44" s="19"/>
      <c r="AK44" s="19"/>
      <c r="AL44" s="24" t="s">
        <v>42</v>
      </c>
    </row>
    <row r="45" spans="1:38">
      <c r="A45" s="2"/>
      <c r="B45" s="1" t="s">
        <v>77</v>
      </c>
      <c r="C45" s="2" t="s">
        <v>323</v>
      </c>
      <c r="D45" s="2" t="s">
        <v>323</v>
      </c>
      <c r="E45" s="3" t="s">
        <v>40</v>
      </c>
      <c r="F45" s="3" t="s">
        <v>31</v>
      </c>
      <c r="G45" s="3"/>
      <c r="H45" s="20"/>
      <c r="I45" s="20"/>
      <c r="J45" s="21"/>
      <c r="K45" s="21"/>
      <c r="L45" s="20" t="s">
        <v>41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>
        <v>1112</v>
      </c>
      <c r="AC45" s="19"/>
      <c r="AD45" s="19"/>
      <c r="AE45" s="19"/>
      <c r="AF45" s="19"/>
      <c r="AG45" s="19" t="s">
        <v>35</v>
      </c>
      <c r="AH45" s="22" t="s">
        <v>36</v>
      </c>
      <c r="AI45" s="23" t="s">
        <v>37</v>
      </c>
      <c r="AJ45" s="19"/>
      <c r="AK45" s="19"/>
      <c r="AL45" s="24" t="s">
        <v>42</v>
      </c>
    </row>
    <row r="46" spans="1:38">
      <c r="A46" s="2"/>
      <c r="B46" s="1" t="s">
        <v>78</v>
      </c>
      <c r="C46" s="2" t="s">
        <v>324</v>
      </c>
      <c r="D46" s="2" t="s">
        <v>324</v>
      </c>
      <c r="E46" s="3" t="s">
        <v>40</v>
      </c>
      <c r="F46" s="3" t="s">
        <v>31</v>
      </c>
      <c r="G46" s="3"/>
      <c r="H46" s="20"/>
      <c r="I46" s="20"/>
      <c r="J46" s="21"/>
      <c r="K46" s="21"/>
      <c r="L46" s="20" t="s">
        <v>41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>
        <v>1112</v>
      </c>
      <c r="AC46" s="19"/>
      <c r="AD46" s="19"/>
      <c r="AE46" s="19"/>
      <c r="AF46" s="19"/>
      <c r="AG46" s="19" t="s">
        <v>35</v>
      </c>
      <c r="AH46" s="22" t="s">
        <v>36</v>
      </c>
      <c r="AI46" s="23" t="s">
        <v>37</v>
      </c>
      <c r="AJ46" s="19"/>
      <c r="AK46" s="19"/>
      <c r="AL46" s="24" t="s">
        <v>42</v>
      </c>
    </row>
    <row r="47" spans="1:38">
      <c r="A47" s="2"/>
      <c r="B47" s="1" t="s">
        <v>79</v>
      </c>
      <c r="C47" s="2" t="s">
        <v>325</v>
      </c>
      <c r="D47" s="2" t="s">
        <v>325</v>
      </c>
      <c r="E47" s="3" t="s">
        <v>40</v>
      </c>
      <c r="F47" s="3" t="s">
        <v>31</v>
      </c>
      <c r="G47" s="3"/>
      <c r="H47" s="20"/>
      <c r="I47" s="20"/>
      <c r="J47" s="21"/>
      <c r="K47" s="21"/>
      <c r="L47" s="20" t="s">
        <v>41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>
        <v>1112</v>
      </c>
      <c r="AC47" s="19"/>
      <c r="AD47" s="19"/>
      <c r="AE47" s="19"/>
      <c r="AF47" s="19"/>
      <c r="AG47" s="19" t="s">
        <v>35</v>
      </c>
      <c r="AH47" s="22" t="s">
        <v>36</v>
      </c>
      <c r="AI47" s="23" t="s">
        <v>37</v>
      </c>
      <c r="AJ47" s="19"/>
      <c r="AK47" s="19"/>
      <c r="AL47" s="24" t="s">
        <v>42</v>
      </c>
    </row>
    <row r="48" spans="1:38">
      <c r="A48" s="2"/>
      <c r="B48" s="1" t="s">
        <v>80</v>
      </c>
      <c r="C48" s="2" t="s">
        <v>326</v>
      </c>
      <c r="D48" s="2" t="s">
        <v>326</v>
      </c>
      <c r="E48" s="3" t="s">
        <v>40</v>
      </c>
      <c r="F48" s="3" t="s">
        <v>31</v>
      </c>
      <c r="G48" s="3"/>
      <c r="H48" s="20"/>
      <c r="I48" s="20"/>
      <c r="J48" s="21"/>
      <c r="K48" s="21"/>
      <c r="L48" s="20" t="s">
        <v>41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>
        <v>1112</v>
      </c>
      <c r="AC48" s="19"/>
      <c r="AD48" s="19"/>
      <c r="AE48" s="19"/>
      <c r="AF48" s="19"/>
      <c r="AG48" s="19" t="s">
        <v>35</v>
      </c>
      <c r="AH48" s="22" t="s">
        <v>36</v>
      </c>
      <c r="AI48" s="23" t="s">
        <v>37</v>
      </c>
      <c r="AJ48" s="19"/>
      <c r="AK48" s="19"/>
      <c r="AL48" s="24" t="s">
        <v>42</v>
      </c>
    </row>
    <row r="49" spans="1:38">
      <c r="A49" s="2"/>
      <c r="B49" s="1" t="s">
        <v>81</v>
      </c>
      <c r="C49" s="2" t="s">
        <v>327</v>
      </c>
      <c r="D49" s="2" t="s">
        <v>327</v>
      </c>
      <c r="E49" s="3" t="s">
        <v>40</v>
      </c>
      <c r="F49" s="3" t="s">
        <v>31</v>
      </c>
      <c r="G49" s="3"/>
      <c r="H49" s="20"/>
      <c r="I49" s="20"/>
      <c r="J49" s="21"/>
      <c r="K49" s="21"/>
      <c r="L49" s="20" t="s">
        <v>41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>
        <v>1112</v>
      </c>
      <c r="AC49" s="19"/>
      <c r="AD49" s="19"/>
      <c r="AE49" s="19"/>
      <c r="AF49" s="19"/>
      <c r="AG49" s="19" t="s">
        <v>35</v>
      </c>
      <c r="AH49" s="22" t="s">
        <v>36</v>
      </c>
      <c r="AI49" s="23" t="s">
        <v>37</v>
      </c>
      <c r="AJ49" s="19"/>
      <c r="AK49" s="19"/>
      <c r="AL49" s="24" t="s">
        <v>42</v>
      </c>
    </row>
    <row r="50" spans="1:38">
      <c r="A50" s="2"/>
      <c r="B50" s="1" t="s">
        <v>82</v>
      </c>
      <c r="C50" s="2" t="s">
        <v>328</v>
      </c>
      <c r="D50" s="2" t="s">
        <v>328</v>
      </c>
      <c r="E50" s="3" t="s">
        <v>40</v>
      </c>
      <c r="F50" s="3" t="s">
        <v>31</v>
      </c>
      <c r="G50" s="3"/>
      <c r="H50" s="20"/>
      <c r="I50" s="20"/>
      <c r="J50" s="21"/>
      <c r="K50" s="21"/>
      <c r="L50" s="20" t="s">
        <v>41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>
        <v>1112</v>
      </c>
      <c r="AC50" s="19"/>
      <c r="AD50" s="19"/>
      <c r="AE50" s="19"/>
      <c r="AF50" s="19"/>
      <c r="AG50" s="19" t="s">
        <v>35</v>
      </c>
      <c r="AH50" s="22" t="s">
        <v>36</v>
      </c>
      <c r="AI50" s="23" t="s">
        <v>37</v>
      </c>
      <c r="AJ50" s="19"/>
      <c r="AK50" s="19"/>
      <c r="AL50" s="24" t="s">
        <v>42</v>
      </c>
    </row>
    <row r="51" spans="1:38">
      <c r="A51" s="2"/>
      <c r="B51" s="1" t="s">
        <v>83</v>
      </c>
      <c r="C51" s="2" t="s">
        <v>329</v>
      </c>
      <c r="D51" s="2" t="s">
        <v>329</v>
      </c>
      <c r="E51" s="3" t="s">
        <v>40</v>
      </c>
      <c r="F51" s="3" t="s">
        <v>31</v>
      </c>
      <c r="G51" s="3"/>
      <c r="H51" s="20"/>
      <c r="I51" s="20"/>
      <c r="J51" s="21"/>
      <c r="K51" s="21"/>
      <c r="L51" s="20" t="s">
        <v>41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>
        <v>1112</v>
      </c>
      <c r="AC51" s="19"/>
      <c r="AD51" s="19"/>
      <c r="AE51" s="19"/>
      <c r="AF51" s="19"/>
      <c r="AG51" s="19" t="s">
        <v>35</v>
      </c>
      <c r="AH51" s="22" t="s">
        <v>36</v>
      </c>
      <c r="AI51" s="23" t="s">
        <v>37</v>
      </c>
      <c r="AJ51" s="19"/>
      <c r="AK51" s="19"/>
      <c r="AL51" s="24" t="s">
        <v>42</v>
      </c>
    </row>
    <row r="52" spans="1:38">
      <c r="A52" s="2"/>
      <c r="B52" s="1" t="s">
        <v>84</v>
      </c>
      <c r="C52" s="2" t="s">
        <v>330</v>
      </c>
      <c r="D52" s="2" t="s">
        <v>330</v>
      </c>
      <c r="E52" s="3" t="s">
        <v>40</v>
      </c>
      <c r="F52" s="3" t="s">
        <v>31</v>
      </c>
      <c r="G52" s="3"/>
      <c r="H52" s="20"/>
      <c r="I52" s="20"/>
      <c r="J52" s="21"/>
      <c r="K52" s="21"/>
      <c r="L52" s="20" t="s">
        <v>41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>
        <v>1112</v>
      </c>
      <c r="AC52" s="19"/>
      <c r="AD52" s="19"/>
      <c r="AE52" s="19"/>
      <c r="AF52" s="19"/>
      <c r="AG52" s="19" t="s">
        <v>35</v>
      </c>
      <c r="AH52" s="22" t="s">
        <v>36</v>
      </c>
      <c r="AI52" s="23" t="s">
        <v>37</v>
      </c>
      <c r="AJ52" s="19"/>
      <c r="AK52" s="19"/>
      <c r="AL52" s="24" t="s">
        <v>42</v>
      </c>
    </row>
    <row r="53" spans="1:38">
      <c r="A53" s="2"/>
      <c r="B53" s="1" t="s">
        <v>85</v>
      </c>
      <c r="C53" s="2" t="s">
        <v>331</v>
      </c>
      <c r="D53" s="2" t="s">
        <v>331</v>
      </c>
      <c r="E53" s="3" t="s">
        <v>40</v>
      </c>
      <c r="F53" s="3" t="s">
        <v>31</v>
      </c>
      <c r="G53" s="3"/>
      <c r="H53" s="20"/>
      <c r="I53" s="20"/>
      <c r="J53" s="21"/>
      <c r="K53" s="21"/>
      <c r="L53" s="20" t="s">
        <v>41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>
        <v>1112</v>
      </c>
      <c r="AC53" s="19"/>
      <c r="AD53" s="19"/>
      <c r="AE53" s="19"/>
      <c r="AF53" s="19"/>
      <c r="AG53" s="19" t="s">
        <v>35</v>
      </c>
      <c r="AH53" s="22" t="s">
        <v>36</v>
      </c>
      <c r="AI53" s="23" t="s">
        <v>37</v>
      </c>
      <c r="AJ53" s="19"/>
      <c r="AK53" s="19"/>
      <c r="AL53" s="24" t="s">
        <v>42</v>
      </c>
    </row>
    <row r="54" spans="1:38">
      <c r="A54" s="2"/>
      <c r="B54" s="1">
        <v>11000670</v>
      </c>
      <c r="C54" s="2" t="s">
        <v>332</v>
      </c>
      <c r="D54" s="2" t="s">
        <v>332</v>
      </c>
      <c r="E54" s="3" t="s">
        <v>40</v>
      </c>
      <c r="F54" s="3" t="s">
        <v>31</v>
      </c>
      <c r="G54" s="3"/>
      <c r="H54" s="20"/>
      <c r="I54" s="20"/>
      <c r="J54" s="21"/>
      <c r="K54" s="21"/>
      <c r="L54" s="20" t="s">
        <v>41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>
        <v>1112</v>
      </c>
      <c r="AC54" s="19"/>
      <c r="AD54" s="19"/>
      <c r="AE54" s="19"/>
      <c r="AF54" s="19"/>
      <c r="AG54" s="19" t="s">
        <v>35</v>
      </c>
      <c r="AH54" s="22" t="s">
        <v>36</v>
      </c>
      <c r="AI54" s="23" t="s">
        <v>37</v>
      </c>
      <c r="AJ54" s="19"/>
      <c r="AK54" s="19"/>
      <c r="AL54" s="24" t="s">
        <v>42</v>
      </c>
    </row>
    <row r="55" spans="1:38">
      <c r="A55" s="2"/>
      <c r="B55" s="1">
        <v>11000671</v>
      </c>
      <c r="C55" s="2" t="s">
        <v>333</v>
      </c>
      <c r="D55" s="2" t="s">
        <v>333</v>
      </c>
      <c r="E55" s="3" t="s">
        <v>40</v>
      </c>
      <c r="F55" s="3" t="s">
        <v>31</v>
      </c>
      <c r="G55" s="3"/>
      <c r="H55" s="20"/>
      <c r="I55" s="20"/>
      <c r="J55" s="21"/>
      <c r="K55" s="21"/>
      <c r="L55" s="20" t="s">
        <v>41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>
        <v>1112</v>
      </c>
      <c r="AC55" s="19"/>
      <c r="AD55" s="19"/>
      <c r="AE55" s="19"/>
      <c r="AF55" s="19"/>
      <c r="AG55" s="19" t="s">
        <v>35</v>
      </c>
      <c r="AH55" s="22" t="s">
        <v>36</v>
      </c>
      <c r="AI55" s="23" t="s">
        <v>37</v>
      </c>
      <c r="AJ55" s="19"/>
      <c r="AK55" s="19"/>
      <c r="AL55" s="24" t="s">
        <v>42</v>
      </c>
    </row>
    <row r="56" spans="1:38">
      <c r="A56" s="2"/>
      <c r="B56" s="1">
        <v>11000696</v>
      </c>
      <c r="C56" s="2" t="s">
        <v>334</v>
      </c>
      <c r="D56" s="2" t="s">
        <v>334</v>
      </c>
      <c r="E56" s="3" t="s">
        <v>40</v>
      </c>
      <c r="F56" s="3" t="s">
        <v>31</v>
      </c>
      <c r="G56" s="3"/>
      <c r="H56" s="20"/>
      <c r="I56" s="20"/>
      <c r="J56" s="21"/>
      <c r="K56" s="21"/>
      <c r="L56" s="20" t="s">
        <v>41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>
        <v>1112</v>
      </c>
      <c r="AC56" s="19"/>
      <c r="AD56" s="19"/>
      <c r="AE56" s="19"/>
      <c r="AF56" s="19"/>
      <c r="AG56" s="19" t="s">
        <v>35</v>
      </c>
      <c r="AH56" s="22" t="s">
        <v>36</v>
      </c>
      <c r="AI56" s="23" t="s">
        <v>37</v>
      </c>
      <c r="AJ56" s="19"/>
      <c r="AK56" s="19"/>
      <c r="AL56" s="24" t="s">
        <v>42</v>
      </c>
    </row>
    <row r="57" spans="1:38">
      <c r="A57" s="2"/>
      <c r="B57" s="1">
        <v>11000697</v>
      </c>
      <c r="C57" s="2" t="s">
        <v>335</v>
      </c>
      <c r="D57" s="2" t="s">
        <v>335</v>
      </c>
      <c r="E57" s="3" t="s">
        <v>40</v>
      </c>
      <c r="F57" s="3" t="s">
        <v>31</v>
      </c>
      <c r="G57" s="3"/>
      <c r="H57" s="20"/>
      <c r="I57" s="20"/>
      <c r="J57" s="21"/>
      <c r="K57" s="21"/>
      <c r="L57" s="20" t="s">
        <v>41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>
        <v>1112</v>
      </c>
      <c r="AC57" s="19"/>
      <c r="AD57" s="19"/>
      <c r="AE57" s="19"/>
      <c r="AF57" s="19"/>
      <c r="AG57" s="19" t="s">
        <v>35</v>
      </c>
      <c r="AH57" s="22" t="s">
        <v>36</v>
      </c>
      <c r="AI57" s="23" t="s">
        <v>37</v>
      </c>
      <c r="AJ57" s="19"/>
      <c r="AK57" s="19"/>
      <c r="AL57" s="24" t="s">
        <v>42</v>
      </c>
    </row>
    <row r="58" spans="1:38">
      <c r="A58" s="2"/>
      <c r="B58" s="1">
        <v>11000698</v>
      </c>
      <c r="C58" s="2" t="s">
        <v>336</v>
      </c>
      <c r="D58" s="2" t="s">
        <v>336</v>
      </c>
      <c r="E58" s="3" t="s">
        <v>40</v>
      </c>
      <c r="F58" s="3" t="s">
        <v>31</v>
      </c>
      <c r="G58" s="3"/>
      <c r="H58" s="20"/>
      <c r="I58" s="20"/>
      <c r="J58" s="21"/>
      <c r="K58" s="21"/>
      <c r="L58" s="20" t="s">
        <v>41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>
        <v>1112</v>
      </c>
      <c r="AC58" s="19"/>
      <c r="AD58" s="19"/>
      <c r="AE58" s="19"/>
      <c r="AF58" s="19"/>
      <c r="AG58" s="19" t="s">
        <v>35</v>
      </c>
      <c r="AH58" s="22" t="s">
        <v>36</v>
      </c>
      <c r="AI58" s="23" t="s">
        <v>37</v>
      </c>
      <c r="AJ58" s="19"/>
      <c r="AK58" s="19"/>
      <c r="AL58" s="24" t="s">
        <v>42</v>
      </c>
    </row>
    <row r="59" spans="1:38">
      <c r="A59" s="2"/>
      <c r="B59" s="1">
        <v>11000699</v>
      </c>
      <c r="C59" s="2" t="s">
        <v>337</v>
      </c>
      <c r="D59" s="2" t="s">
        <v>337</v>
      </c>
      <c r="E59" s="3" t="s">
        <v>40</v>
      </c>
      <c r="F59" s="3" t="s">
        <v>31</v>
      </c>
      <c r="G59" s="3"/>
      <c r="H59" s="20"/>
      <c r="I59" s="20"/>
      <c r="J59" s="21"/>
      <c r="K59" s="21"/>
      <c r="L59" s="20" t="s">
        <v>41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>
        <v>1112</v>
      </c>
      <c r="AC59" s="19"/>
      <c r="AD59" s="19"/>
      <c r="AE59" s="19"/>
      <c r="AF59" s="19"/>
      <c r="AG59" s="19" t="s">
        <v>35</v>
      </c>
      <c r="AH59" s="22" t="s">
        <v>36</v>
      </c>
      <c r="AI59" s="23" t="s">
        <v>37</v>
      </c>
      <c r="AJ59" s="19"/>
      <c r="AK59" s="19"/>
      <c r="AL59" s="24" t="s">
        <v>42</v>
      </c>
    </row>
    <row r="60" spans="1:38">
      <c r="A60" s="2"/>
      <c r="B60" s="1">
        <v>11000725</v>
      </c>
      <c r="C60" s="2" t="s">
        <v>338</v>
      </c>
      <c r="D60" s="2" t="s">
        <v>338</v>
      </c>
      <c r="E60" s="3" t="s">
        <v>40</v>
      </c>
      <c r="F60" s="3" t="s">
        <v>31</v>
      </c>
      <c r="G60" s="3"/>
      <c r="H60" s="20"/>
      <c r="I60" s="20"/>
      <c r="J60" s="21"/>
      <c r="K60" s="21"/>
      <c r="L60" s="20" t="s">
        <v>41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>
        <v>1112</v>
      </c>
      <c r="AC60" s="19"/>
      <c r="AD60" s="19"/>
      <c r="AE60" s="19"/>
      <c r="AF60" s="19"/>
      <c r="AG60" s="19" t="s">
        <v>35</v>
      </c>
      <c r="AH60" s="22" t="s">
        <v>36</v>
      </c>
      <c r="AI60" s="23" t="s">
        <v>37</v>
      </c>
      <c r="AJ60" s="19"/>
      <c r="AK60" s="19"/>
      <c r="AL60" s="24" t="s">
        <v>42</v>
      </c>
    </row>
  </sheetData>
  <autoFilter ref="A3:AL60" xr:uid="{4B35CF15-556B-4D81-9856-EFA3565B867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29F3-69EB-4505-8E0A-DEDE34828DCC}">
  <sheetPr>
    <tabColor theme="5" tint="0.79998168889431442"/>
  </sheetPr>
  <dimension ref="A3:E80"/>
  <sheetViews>
    <sheetView showGridLines="0" zoomScaleNormal="100" workbookViewId="0">
      <selection activeCell="G18" sqref="A17:G18"/>
    </sheetView>
  </sheetViews>
  <sheetFormatPr defaultRowHeight="13.2"/>
  <cols>
    <col min="1" max="1" width="17.88671875" style="4" customWidth="1"/>
    <col min="2" max="2" width="21.6640625" style="4" customWidth="1"/>
    <col min="3" max="3" width="18.109375" style="4" hidden="1" customWidth="1"/>
    <col min="4" max="4" width="19" style="4" hidden="1" customWidth="1"/>
    <col min="5" max="5" width="19.33203125" style="4" customWidth="1"/>
    <col min="6" max="16384" width="8.88671875" style="4"/>
  </cols>
  <sheetData>
    <row r="3" spans="1:5" ht="60" customHeight="1">
      <c r="A3" s="25" t="s">
        <v>184</v>
      </c>
      <c r="B3" s="25" t="s">
        <v>185</v>
      </c>
      <c r="C3" s="25" t="s">
        <v>186</v>
      </c>
      <c r="D3" s="25" t="s">
        <v>187</v>
      </c>
      <c r="E3" s="25" t="s">
        <v>188</v>
      </c>
    </row>
    <row r="4" spans="1:5">
      <c r="A4" s="28" t="s">
        <v>40</v>
      </c>
      <c r="B4" s="28" t="s">
        <v>170</v>
      </c>
      <c r="C4" s="26" t="s">
        <v>86</v>
      </c>
      <c r="D4" s="26">
        <v>1</v>
      </c>
      <c r="E4" s="26" t="s">
        <v>87</v>
      </c>
    </row>
    <row r="5" spans="1:5">
      <c r="A5" s="27"/>
      <c r="B5" s="27"/>
      <c r="C5" s="27"/>
      <c r="D5" s="26">
        <v>2</v>
      </c>
      <c r="E5" s="26" t="s">
        <v>88</v>
      </c>
    </row>
    <row r="6" spans="1:5">
      <c r="A6" s="27"/>
      <c r="B6" s="27"/>
      <c r="C6" s="27"/>
      <c r="D6" s="26">
        <v>3</v>
      </c>
      <c r="E6" s="26" t="s">
        <v>89</v>
      </c>
    </row>
    <row r="7" spans="1:5">
      <c r="A7" s="27"/>
      <c r="B7" s="27"/>
      <c r="C7" s="27"/>
      <c r="D7" s="26">
        <v>4</v>
      </c>
      <c r="E7" s="26" t="s">
        <v>90</v>
      </c>
    </row>
    <row r="8" spans="1:5">
      <c r="A8" s="27"/>
      <c r="B8" s="28" t="s">
        <v>171</v>
      </c>
      <c r="C8" s="26" t="s">
        <v>0</v>
      </c>
      <c r="D8" s="26">
        <v>110</v>
      </c>
      <c r="E8" s="26" t="s">
        <v>219</v>
      </c>
    </row>
    <row r="9" spans="1:5">
      <c r="A9" s="27"/>
      <c r="B9" s="27"/>
      <c r="C9" s="27"/>
      <c r="D9" s="26">
        <v>111</v>
      </c>
      <c r="E9" s="26" t="s">
        <v>220</v>
      </c>
    </row>
    <row r="10" spans="1:5">
      <c r="A10" s="27"/>
      <c r="B10" s="27"/>
      <c r="C10" s="27"/>
      <c r="D10" s="26">
        <v>112</v>
      </c>
      <c r="E10" s="26" t="s">
        <v>221</v>
      </c>
    </row>
    <row r="11" spans="1:5">
      <c r="A11" s="27"/>
      <c r="B11" s="27"/>
      <c r="C11" s="27"/>
      <c r="D11" s="26">
        <v>113</v>
      </c>
      <c r="E11" s="26" t="s">
        <v>222</v>
      </c>
    </row>
    <row r="12" spans="1:5">
      <c r="A12" s="27"/>
      <c r="B12" s="27"/>
      <c r="C12" s="27"/>
      <c r="D12" s="26">
        <v>114</v>
      </c>
      <c r="E12" s="26" t="s">
        <v>223</v>
      </c>
    </row>
    <row r="13" spans="1:5">
      <c r="A13" s="27"/>
      <c r="B13" s="27"/>
      <c r="C13" s="27"/>
      <c r="D13" s="26">
        <v>115</v>
      </c>
      <c r="E13" s="26" t="s">
        <v>224</v>
      </c>
    </row>
    <row r="14" spans="1:5">
      <c r="A14" s="27"/>
      <c r="B14" s="27"/>
      <c r="C14" s="27"/>
      <c r="D14" s="26">
        <v>116</v>
      </c>
      <c r="E14" s="26" t="s">
        <v>225</v>
      </c>
    </row>
    <row r="15" spans="1:5">
      <c r="A15" s="27"/>
      <c r="B15" s="27"/>
      <c r="C15" s="27"/>
      <c r="D15" s="26">
        <v>117</v>
      </c>
      <c r="E15" s="26" t="s">
        <v>226</v>
      </c>
    </row>
    <row r="16" spans="1:5">
      <c r="A16" s="27"/>
      <c r="B16" s="27"/>
      <c r="C16" s="27"/>
      <c r="D16" s="26">
        <v>118</v>
      </c>
      <c r="E16" s="26" t="s">
        <v>227</v>
      </c>
    </row>
    <row r="17" spans="1:5">
      <c r="A17" s="27"/>
      <c r="B17" s="27"/>
      <c r="C17" s="27"/>
      <c r="D17" s="26">
        <v>119</v>
      </c>
      <c r="E17" s="27" t="s">
        <v>228</v>
      </c>
    </row>
    <row r="18" spans="1:5">
      <c r="A18" s="27"/>
      <c r="B18" s="27"/>
      <c r="C18" s="27"/>
      <c r="D18" s="26">
        <v>120</v>
      </c>
      <c r="E18" s="27" t="s">
        <v>229</v>
      </c>
    </row>
    <row r="19" spans="1:5">
      <c r="A19" s="27"/>
      <c r="B19" s="27"/>
      <c r="C19" s="27"/>
      <c r="D19" s="26">
        <v>121</v>
      </c>
      <c r="E19" s="27" t="s">
        <v>230</v>
      </c>
    </row>
    <row r="20" spans="1:5">
      <c r="A20" s="27"/>
      <c r="B20" s="27"/>
      <c r="C20" s="27"/>
      <c r="D20" s="26">
        <v>122</v>
      </c>
      <c r="E20" s="27" t="s">
        <v>231</v>
      </c>
    </row>
    <row r="21" spans="1:5">
      <c r="A21" s="27"/>
      <c r="B21" s="27"/>
      <c r="C21" s="27"/>
      <c r="D21" s="26">
        <v>123</v>
      </c>
      <c r="E21" s="27" t="s">
        <v>232</v>
      </c>
    </row>
    <row r="22" spans="1:5">
      <c r="A22" s="27"/>
      <c r="B22" s="27"/>
      <c r="C22" s="27"/>
      <c r="D22" s="26">
        <v>124</v>
      </c>
      <c r="E22" s="27" t="s">
        <v>282</v>
      </c>
    </row>
    <row r="23" spans="1:5">
      <c r="A23" s="27"/>
      <c r="B23" s="27"/>
      <c r="C23" s="27"/>
      <c r="D23" s="26">
        <v>125</v>
      </c>
      <c r="E23" s="27" t="s">
        <v>233</v>
      </c>
    </row>
    <row r="24" spans="1:5">
      <c r="A24" s="27"/>
      <c r="B24" s="27"/>
      <c r="C24" s="27"/>
      <c r="D24" s="26">
        <v>126</v>
      </c>
      <c r="E24" s="27" t="s">
        <v>234</v>
      </c>
    </row>
    <row r="25" spans="1:5">
      <c r="A25" s="27"/>
      <c r="B25" s="27"/>
      <c r="C25" s="27"/>
      <c r="D25" s="26">
        <v>127</v>
      </c>
      <c r="E25" s="27" t="s">
        <v>235</v>
      </c>
    </row>
    <row r="26" spans="1:5">
      <c r="A26" s="27"/>
      <c r="B26" s="27"/>
      <c r="C26" s="27"/>
      <c r="D26" s="26">
        <v>128</v>
      </c>
      <c r="E26" s="27" t="s">
        <v>91</v>
      </c>
    </row>
    <row r="27" spans="1:5">
      <c r="A27" s="27"/>
      <c r="B27" s="27"/>
      <c r="C27" s="27"/>
      <c r="D27" s="26">
        <v>129</v>
      </c>
      <c r="E27" s="27" t="s">
        <v>236</v>
      </c>
    </row>
    <row r="28" spans="1:5">
      <c r="A28" s="27"/>
      <c r="B28" s="27"/>
      <c r="C28" s="27"/>
      <c r="D28" s="26">
        <v>130</v>
      </c>
      <c r="E28" s="27" t="s">
        <v>237</v>
      </c>
    </row>
    <row r="29" spans="1:5">
      <c r="A29" s="27"/>
      <c r="B29" s="27"/>
      <c r="C29" s="27"/>
      <c r="D29" s="26">
        <v>131</v>
      </c>
      <c r="E29" s="27" t="s">
        <v>92</v>
      </c>
    </row>
    <row r="30" spans="1:5">
      <c r="A30" s="27"/>
      <c r="B30" s="27"/>
      <c r="C30" s="27"/>
      <c r="D30" s="26">
        <v>132</v>
      </c>
      <c r="E30" s="27" t="s">
        <v>238</v>
      </c>
    </row>
    <row r="31" spans="1:5">
      <c r="A31" s="27"/>
      <c r="B31" s="27"/>
      <c r="C31" s="27"/>
      <c r="D31" s="26">
        <v>133</v>
      </c>
      <c r="E31" s="27" t="s">
        <v>239</v>
      </c>
    </row>
    <row r="32" spans="1:5">
      <c r="A32" s="27"/>
      <c r="B32" s="27"/>
      <c r="C32" s="27"/>
      <c r="D32" s="26">
        <v>134</v>
      </c>
      <c r="E32" s="27" t="s">
        <v>240</v>
      </c>
    </row>
    <row r="33" spans="1:5">
      <c r="A33" s="27"/>
      <c r="B33" s="27"/>
      <c r="C33" s="27"/>
      <c r="D33" s="26">
        <v>135</v>
      </c>
      <c r="E33" s="27" t="s">
        <v>281</v>
      </c>
    </row>
    <row r="34" spans="1:5">
      <c r="A34" s="27"/>
      <c r="B34" s="27"/>
      <c r="C34" s="27"/>
      <c r="D34" s="26">
        <v>136</v>
      </c>
      <c r="E34" s="27" t="s">
        <v>241</v>
      </c>
    </row>
    <row r="35" spans="1:5">
      <c r="A35" s="27"/>
      <c r="B35" s="27"/>
      <c r="C35" s="27"/>
      <c r="D35" s="26">
        <v>137</v>
      </c>
      <c r="E35" s="27" t="s">
        <v>242</v>
      </c>
    </row>
    <row r="36" spans="1:5">
      <c r="A36" s="27"/>
      <c r="B36" s="27"/>
      <c r="C36" s="27"/>
      <c r="D36" s="26">
        <v>138</v>
      </c>
      <c r="E36" s="27" t="s">
        <v>243</v>
      </c>
    </row>
    <row r="37" spans="1:5">
      <c r="A37" s="27"/>
      <c r="B37" s="27"/>
      <c r="C37" s="27"/>
      <c r="D37" s="26">
        <v>139</v>
      </c>
      <c r="E37" s="27" t="s">
        <v>244</v>
      </c>
    </row>
    <row r="38" spans="1:5">
      <c r="A38" s="27"/>
      <c r="B38" s="27"/>
      <c r="C38" s="27"/>
      <c r="D38" s="26">
        <v>140</v>
      </c>
      <c r="E38" s="27" t="s">
        <v>245</v>
      </c>
    </row>
    <row r="39" spans="1:5">
      <c r="A39" s="27"/>
      <c r="B39" s="27"/>
      <c r="C39" s="27"/>
      <c r="D39" s="26">
        <v>141</v>
      </c>
      <c r="E39" s="27" t="s">
        <v>246</v>
      </c>
    </row>
    <row r="40" spans="1:5">
      <c r="A40" s="27"/>
      <c r="B40" s="27"/>
      <c r="C40" s="27"/>
      <c r="D40" s="26">
        <v>142</v>
      </c>
      <c r="E40" s="27" t="s">
        <v>247</v>
      </c>
    </row>
    <row r="41" spans="1:5">
      <c r="A41" s="27"/>
      <c r="B41" s="27"/>
      <c r="C41" s="27"/>
      <c r="D41" s="26">
        <v>143</v>
      </c>
      <c r="E41" s="27" t="s">
        <v>248</v>
      </c>
    </row>
    <row r="42" spans="1:5">
      <c r="A42" s="27"/>
      <c r="B42" s="27"/>
      <c r="C42" s="27"/>
      <c r="D42" s="26">
        <v>144</v>
      </c>
      <c r="E42" s="27" t="s">
        <v>249</v>
      </c>
    </row>
    <row r="43" spans="1:5">
      <c r="A43" s="27"/>
      <c r="B43" s="27"/>
      <c r="C43" s="27"/>
      <c r="D43" s="26">
        <v>145</v>
      </c>
      <c r="E43" s="27" t="s">
        <v>250</v>
      </c>
    </row>
    <row r="44" spans="1:5">
      <c r="A44" s="27"/>
      <c r="B44" s="27"/>
      <c r="C44" s="27"/>
      <c r="D44" s="26">
        <v>146</v>
      </c>
      <c r="E44" s="27" t="s">
        <v>251</v>
      </c>
    </row>
    <row r="45" spans="1:5">
      <c r="A45" s="27"/>
      <c r="B45" s="27"/>
      <c r="C45" s="27"/>
      <c r="D45" s="26">
        <v>147</v>
      </c>
      <c r="E45" s="27" t="s">
        <v>252</v>
      </c>
    </row>
    <row r="46" spans="1:5">
      <c r="A46" s="27"/>
      <c r="B46" s="27"/>
      <c r="C46" s="27"/>
      <c r="D46" s="26">
        <v>148</v>
      </c>
      <c r="E46" s="27" t="s">
        <v>253</v>
      </c>
    </row>
    <row r="47" spans="1:5">
      <c r="A47" s="28" t="s">
        <v>30</v>
      </c>
      <c r="B47" s="28" t="s">
        <v>170</v>
      </c>
      <c r="C47" s="26" t="s">
        <v>93</v>
      </c>
      <c r="D47" s="26">
        <v>1</v>
      </c>
      <c r="E47" s="26" t="s">
        <v>94</v>
      </c>
    </row>
    <row r="48" spans="1:5">
      <c r="A48" s="26"/>
      <c r="B48" s="26"/>
      <c r="C48" s="26"/>
      <c r="D48" s="26">
        <v>2</v>
      </c>
      <c r="E48" s="26" t="s">
        <v>95</v>
      </c>
    </row>
    <row r="49" spans="1:5">
      <c r="A49" s="26"/>
      <c r="B49" s="26"/>
      <c r="C49" s="26"/>
      <c r="D49" s="26">
        <v>3</v>
      </c>
      <c r="E49" s="26" t="s">
        <v>96</v>
      </c>
    </row>
    <row r="50" spans="1:5">
      <c r="A50" s="26"/>
      <c r="B50" s="26"/>
      <c r="C50" s="26"/>
      <c r="D50" s="26">
        <v>4</v>
      </c>
      <c r="E50" s="26" t="s">
        <v>97</v>
      </c>
    </row>
    <row r="51" spans="1:5">
      <c r="A51" s="26"/>
      <c r="B51" s="28" t="s">
        <v>172</v>
      </c>
      <c r="C51" s="26" t="s">
        <v>98</v>
      </c>
      <c r="D51" s="26">
        <v>122</v>
      </c>
      <c r="E51" s="26" t="s">
        <v>99</v>
      </c>
    </row>
    <row r="52" spans="1:5">
      <c r="A52" s="26"/>
      <c r="B52" s="26"/>
      <c r="C52" s="26"/>
      <c r="D52" s="26">
        <v>123</v>
      </c>
      <c r="E52" s="26" t="s">
        <v>100</v>
      </c>
    </row>
    <row r="53" spans="1:5">
      <c r="A53" s="26"/>
      <c r="B53" s="28" t="s">
        <v>171</v>
      </c>
      <c r="C53" s="26" t="s">
        <v>0</v>
      </c>
      <c r="D53" s="26">
        <v>1</v>
      </c>
      <c r="E53" s="26" t="s">
        <v>254</v>
      </c>
    </row>
    <row r="54" spans="1:5">
      <c r="A54" s="26"/>
      <c r="B54" s="26"/>
      <c r="C54" s="26"/>
      <c r="D54" s="26">
        <v>2</v>
      </c>
      <c r="E54" s="26" t="s">
        <v>280</v>
      </c>
    </row>
    <row r="55" spans="1:5">
      <c r="A55" s="26"/>
      <c r="B55" s="26"/>
      <c r="C55" s="26"/>
      <c r="D55" s="26">
        <v>3</v>
      </c>
      <c r="E55" s="26" t="s">
        <v>255</v>
      </c>
    </row>
    <row r="56" spans="1:5">
      <c r="A56" s="26"/>
      <c r="B56" s="26"/>
      <c r="C56" s="26"/>
      <c r="D56" s="26">
        <v>4</v>
      </c>
      <c r="E56" s="26" t="s">
        <v>256</v>
      </c>
    </row>
    <row r="57" spans="1:5">
      <c r="A57" s="26"/>
      <c r="B57" s="26"/>
      <c r="C57" s="26"/>
      <c r="D57" s="26">
        <v>5</v>
      </c>
      <c r="E57" s="26" t="s">
        <v>257</v>
      </c>
    </row>
    <row r="58" spans="1:5">
      <c r="A58" s="26"/>
      <c r="B58" s="26"/>
      <c r="C58" s="26"/>
      <c r="D58" s="26">
        <v>6</v>
      </c>
      <c r="E58" s="26" t="s">
        <v>258</v>
      </c>
    </row>
    <row r="59" spans="1:5">
      <c r="A59" s="26"/>
      <c r="B59" s="26"/>
      <c r="C59" s="26"/>
      <c r="D59" s="26">
        <v>7</v>
      </c>
      <c r="E59" s="26" t="s">
        <v>259</v>
      </c>
    </row>
    <row r="60" spans="1:5">
      <c r="A60" s="26"/>
      <c r="B60" s="26"/>
      <c r="C60" s="26"/>
      <c r="D60" s="26">
        <v>8</v>
      </c>
      <c r="E60" s="26" t="s">
        <v>277</v>
      </c>
    </row>
    <row r="61" spans="1:5">
      <c r="A61" s="26"/>
      <c r="B61" s="26"/>
      <c r="C61" s="26"/>
      <c r="D61" s="26">
        <v>9</v>
      </c>
      <c r="E61" s="26" t="s">
        <v>260</v>
      </c>
    </row>
    <row r="62" spans="1:5">
      <c r="A62" s="26"/>
      <c r="B62" s="26"/>
      <c r="C62" s="26"/>
      <c r="D62" s="26">
        <v>10</v>
      </c>
      <c r="E62" s="26" t="s">
        <v>278</v>
      </c>
    </row>
    <row r="63" spans="1:5">
      <c r="A63" s="26"/>
      <c r="B63" s="26"/>
      <c r="C63" s="26"/>
      <c r="D63" s="26">
        <v>11</v>
      </c>
      <c r="E63" s="26" t="s">
        <v>261</v>
      </c>
    </row>
    <row r="64" spans="1:5">
      <c r="A64" s="26"/>
      <c r="B64" s="26"/>
      <c r="C64" s="26"/>
      <c r="D64" s="26">
        <v>12</v>
      </c>
      <c r="E64" s="26" t="s">
        <v>262</v>
      </c>
    </row>
    <row r="65" spans="1:5">
      <c r="A65" s="26"/>
      <c r="B65" s="26"/>
      <c r="C65" s="26"/>
      <c r="D65" s="26">
        <v>13</v>
      </c>
      <c r="E65" s="26" t="s">
        <v>263</v>
      </c>
    </row>
    <row r="66" spans="1:5">
      <c r="A66" s="26"/>
      <c r="B66" s="26"/>
      <c r="C66" s="26"/>
      <c r="D66" s="26">
        <v>14</v>
      </c>
      <c r="E66" s="26" t="s">
        <v>264</v>
      </c>
    </row>
    <row r="67" spans="1:5">
      <c r="A67" s="26"/>
      <c r="B67" s="26"/>
      <c r="C67" s="26"/>
      <c r="D67" s="26">
        <v>15</v>
      </c>
      <c r="E67" s="26" t="s">
        <v>265</v>
      </c>
    </row>
    <row r="68" spans="1:5">
      <c r="A68" s="26"/>
      <c r="B68" s="26"/>
      <c r="C68" s="26"/>
      <c r="D68" s="26">
        <v>16</v>
      </c>
      <c r="E68" s="26" t="s">
        <v>266</v>
      </c>
    </row>
    <row r="69" spans="1:5">
      <c r="A69" s="26"/>
      <c r="B69" s="26"/>
      <c r="C69" s="26"/>
      <c r="D69" s="26">
        <v>17</v>
      </c>
      <c r="E69" s="26" t="s">
        <v>267</v>
      </c>
    </row>
    <row r="70" spans="1:5">
      <c r="A70" s="26"/>
      <c r="B70" s="26"/>
      <c r="C70" s="26"/>
      <c r="D70" s="26">
        <v>18</v>
      </c>
      <c r="E70" s="26" t="s">
        <v>279</v>
      </c>
    </row>
    <row r="71" spans="1:5">
      <c r="A71" s="26"/>
      <c r="B71" s="26"/>
      <c r="C71" s="26"/>
      <c r="D71" s="26">
        <v>19</v>
      </c>
      <c r="E71" s="26" t="s">
        <v>268</v>
      </c>
    </row>
    <row r="72" spans="1:5">
      <c r="A72" s="26"/>
      <c r="B72" s="26"/>
      <c r="C72" s="26"/>
      <c r="D72" s="26">
        <v>20</v>
      </c>
      <c r="E72" s="26" t="s">
        <v>90</v>
      </c>
    </row>
    <row r="73" spans="1:5">
      <c r="A73" s="26"/>
      <c r="B73" s="26"/>
      <c r="C73" s="26"/>
      <c r="D73" s="26"/>
      <c r="E73" s="26" t="s">
        <v>269</v>
      </c>
    </row>
    <row r="74" spans="1:5">
      <c r="A74" s="26"/>
      <c r="B74" s="26"/>
      <c r="C74" s="26"/>
      <c r="D74" s="26"/>
      <c r="E74" s="26" t="s">
        <v>270</v>
      </c>
    </row>
    <row r="75" spans="1:5">
      <c r="A75" s="26"/>
      <c r="B75" s="26"/>
      <c r="C75" s="26"/>
      <c r="D75" s="26"/>
      <c r="E75" s="26" t="s">
        <v>271</v>
      </c>
    </row>
    <row r="76" spans="1:5">
      <c r="A76" s="26"/>
      <c r="B76" s="26"/>
      <c r="C76" s="26"/>
      <c r="D76" s="26"/>
      <c r="E76" s="26" t="s">
        <v>272</v>
      </c>
    </row>
    <row r="77" spans="1:5">
      <c r="A77" s="26"/>
      <c r="B77" s="26"/>
      <c r="C77" s="26"/>
      <c r="D77" s="26"/>
      <c r="E77" s="26" t="s">
        <v>273</v>
      </c>
    </row>
    <row r="78" spans="1:5">
      <c r="A78" s="26"/>
      <c r="B78" s="26"/>
      <c r="C78" s="26"/>
      <c r="D78" s="26"/>
      <c r="E78" s="26" t="s">
        <v>274</v>
      </c>
    </row>
    <row r="79" spans="1:5">
      <c r="A79" s="26"/>
      <c r="B79" s="26"/>
      <c r="C79" s="26"/>
      <c r="D79" s="26"/>
      <c r="E79" s="26" t="s">
        <v>275</v>
      </c>
    </row>
    <row r="80" spans="1:5">
      <c r="A80" s="26"/>
      <c r="B80" s="26"/>
      <c r="C80" s="26"/>
      <c r="D80" s="26"/>
      <c r="E80" s="26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1710-CF2D-479D-9544-C83B95085D2E}">
  <sheetPr>
    <tabColor theme="7" tint="0.79998168889431442"/>
  </sheetPr>
  <dimension ref="A1:T18"/>
  <sheetViews>
    <sheetView showGridLines="0" zoomScaleNormal="100" zoomScaleSheetLayoutView="55" workbookViewId="0">
      <pane ySplit="3" topLeftCell="A4" activePane="bottomLeft" state="frozen"/>
      <selection pane="bottomLeft" activeCell="K15" sqref="K15"/>
    </sheetView>
  </sheetViews>
  <sheetFormatPr defaultColWidth="9.109375" defaultRowHeight="13.2"/>
  <cols>
    <col min="1" max="1" width="5.6640625" style="9" customWidth="1"/>
    <col min="2" max="2" width="21.44140625" style="9" hidden="1" customWidth="1"/>
    <col min="3" max="3" width="15.77734375" style="9" customWidth="1"/>
    <col min="4" max="4" width="14.88671875" style="9" customWidth="1"/>
    <col min="5" max="5" width="23.88671875" style="11" bestFit="1" customWidth="1"/>
    <col min="6" max="6" width="45.109375" style="11" hidden="1" customWidth="1"/>
    <col min="7" max="7" width="45.109375" style="9" hidden="1" customWidth="1"/>
    <col min="8" max="8" width="45.109375" style="11" hidden="1" customWidth="1"/>
    <col min="9" max="9" width="19.33203125" style="11" hidden="1" customWidth="1"/>
    <col min="10" max="10" width="22.5546875" style="9" customWidth="1"/>
    <col min="11" max="11" width="21" style="9" customWidth="1"/>
    <col min="12" max="12" width="28.33203125" style="9" customWidth="1"/>
    <col min="13" max="13" width="28.33203125" style="18" hidden="1" customWidth="1"/>
    <col min="14" max="14" width="30.33203125" style="18" hidden="1" customWidth="1"/>
    <col min="15" max="15" width="25.88671875" style="18" hidden="1" customWidth="1"/>
    <col min="16" max="16" width="19.33203125" style="18" hidden="1" customWidth="1"/>
    <col min="17" max="17" width="27.33203125" style="18" hidden="1" customWidth="1"/>
    <col min="18" max="18" width="17.88671875" style="18" hidden="1" customWidth="1"/>
    <col min="19" max="19" width="46" style="11" hidden="1" customWidth="1"/>
    <col min="20" max="20" width="19.5546875" style="9" customWidth="1"/>
    <col min="21" max="16384" width="9.109375" style="16"/>
  </cols>
  <sheetData>
    <row r="1" spans="1:20">
      <c r="A1" s="8"/>
      <c r="E1" s="10"/>
      <c r="G1" s="12"/>
      <c r="I1" s="13"/>
      <c r="J1" s="14"/>
      <c r="K1" s="12"/>
      <c r="M1" s="15"/>
      <c r="N1" s="9"/>
      <c r="O1" s="12"/>
      <c r="P1" s="9"/>
      <c r="Q1" s="12"/>
      <c r="R1" s="9"/>
      <c r="S1" s="10"/>
    </row>
    <row r="2" spans="1:2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s="9" customFormat="1" ht="52.8" customHeight="1">
      <c r="A3" s="25" t="s">
        <v>164</v>
      </c>
      <c r="B3" s="25" t="s">
        <v>167</v>
      </c>
      <c r="C3" s="25" t="s">
        <v>168</v>
      </c>
      <c r="D3" s="25" t="s">
        <v>189</v>
      </c>
      <c r="E3" s="25" t="s">
        <v>165</v>
      </c>
      <c r="F3" s="52" t="s">
        <v>166</v>
      </c>
      <c r="G3" s="52" t="s">
        <v>105</v>
      </c>
      <c r="H3" s="52" t="s">
        <v>106</v>
      </c>
      <c r="I3" s="52" t="s">
        <v>107</v>
      </c>
      <c r="J3" s="25" t="s">
        <v>178</v>
      </c>
      <c r="K3" s="25" t="s">
        <v>177</v>
      </c>
      <c r="L3" s="25" t="s">
        <v>176</v>
      </c>
      <c r="M3" s="52" t="s">
        <v>108</v>
      </c>
      <c r="N3" s="52" t="s">
        <v>109</v>
      </c>
      <c r="O3" s="52" t="s">
        <v>179</v>
      </c>
      <c r="P3" s="52" t="s">
        <v>180</v>
      </c>
      <c r="Q3" s="52" t="s">
        <v>181</v>
      </c>
      <c r="R3" s="52" t="s">
        <v>175</v>
      </c>
      <c r="S3" s="52" t="s">
        <v>182</v>
      </c>
      <c r="T3" s="25" t="s">
        <v>110</v>
      </c>
    </row>
    <row r="4" spans="1:20" s="17" customFormat="1">
      <c r="A4" s="30">
        <v>1</v>
      </c>
      <c r="B4" s="30"/>
      <c r="C4" s="30" t="s">
        <v>112</v>
      </c>
      <c r="D4" s="30" t="s">
        <v>113</v>
      </c>
      <c r="E4" s="31" t="s">
        <v>362</v>
      </c>
      <c r="F4" s="31"/>
      <c r="G4" s="32"/>
      <c r="H4" s="31"/>
      <c r="I4" s="31"/>
      <c r="J4" s="33" t="s">
        <v>101</v>
      </c>
      <c r="K4" s="33" t="s">
        <v>102</v>
      </c>
      <c r="L4" s="33" t="s">
        <v>103</v>
      </c>
      <c r="M4" s="34"/>
      <c r="N4" s="33"/>
      <c r="O4" s="34"/>
      <c r="P4" s="33"/>
      <c r="Q4" s="33"/>
      <c r="R4" s="34"/>
      <c r="S4" s="31"/>
      <c r="T4" s="32" t="s">
        <v>104</v>
      </c>
    </row>
    <row r="5" spans="1:20" s="17" customFormat="1">
      <c r="A5" s="30">
        <v>2</v>
      </c>
      <c r="B5" s="30"/>
      <c r="C5" s="30" t="s">
        <v>114</v>
      </c>
      <c r="D5" s="30" t="s">
        <v>115</v>
      </c>
      <c r="E5" s="31" t="s">
        <v>363</v>
      </c>
      <c r="F5" s="37"/>
      <c r="G5" s="33"/>
      <c r="H5" s="31"/>
      <c r="I5" s="31"/>
      <c r="J5" s="33" t="s">
        <v>101</v>
      </c>
      <c r="K5" s="33" t="s">
        <v>102</v>
      </c>
      <c r="L5" s="33" t="s">
        <v>103</v>
      </c>
      <c r="M5" s="34"/>
      <c r="N5" s="33"/>
      <c r="O5" s="34"/>
      <c r="P5" s="33"/>
      <c r="Q5" s="33"/>
      <c r="R5" s="33"/>
      <c r="S5" s="37"/>
      <c r="T5" s="33" t="s">
        <v>11</v>
      </c>
    </row>
    <row r="6" spans="1:20" s="17" customFormat="1">
      <c r="A6" s="30">
        <v>3</v>
      </c>
      <c r="B6" s="30"/>
      <c r="C6" s="30" t="s">
        <v>116</v>
      </c>
      <c r="D6" s="30" t="s">
        <v>117</v>
      </c>
      <c r="E6" s="31" t="s">
        <v>364</v>
      </c>
      <c r="F6" s="37"/>
      <c r="G6" s="33"/>
      <c r="H6" s="31"/>
      <c r="I6" s="31"/>
      <c r="J6" s="33" t="s">
        <v>101</v>
      </c>
      <c r="K6" s="33" t="s">
        <v>102</v>
      </c>
      <c r="L6" s="33" t="s">
        <v>103</v>
      </c>
      <c r="M6" s="34"/>
      <c r="N6" s="33"/>
      <c r="O6" s="34"/>
      <c r="P6" s="33"/>
      <c r="Q6" s="33"/>
      <c r="R6" s="33"/>
      <c r="S6" s="38"/>
      <c r="T6" s="33" t="s">
        <v>11</v>
      </c>
    </row>
    <row r="7" spans="1:20" s="17" customFormat="1">
      <c r="A7" s="30">
        <v>4</v>
      </c>
      <c r="B7" s="30"/>
      <c r="C7" s="30" t="s">
        <v>118</v>
      </c>
      <c r="D7" s="30" t="s">
        <v>119</v>
      </c>
      <c r="E7" s="31" t="s">
        <v>365</v>
      </c>
      <c r="F7" s="37"/>
      <c r="G7" s="33"/>
      <c r="H7" s="31"/>
      <c r="I7" s="31"/>
      <c r="J7" s="33" t="s">
        <v>101</v>
      </c>
      <c r="K7" s="33" t="s">
        <v>102</v>
      </c>
      <c r="L7" s="33" t="s">
        <v>103</v>
      </c>
      <c r="M7" s="34"/>
      <c r="N7" s="33"/>
      <c r="O7" s="34"/>
      <c r="P7" s="33"/>
      <c r="Q7" s="33"/>
      <c r="R7" s="34"/>
      <c r="S7" s="37"/>
      <c r="T7" s="33" t="s">
        <v>13</v>
      </c>
    </row>
    <row r="8" spans="1:20" s="17" customFormat="1">
      <c r="A8" s="30">
        <v>5</v>
      </c>
      <c r="B8" s="30"/>
      <c r="C8" s="30" t="s">
        <v>120</v>
      </c>
      <c r="D8" s="30" t="s">
        <v>121</v>
      </c>
      <c r="E8" s="31" t="s">
        <v>366</v>
      </c>
      <c r="F8" s="37"/>
      <c r="G8" s="33"/>
      <c r="H8" s="31"/>
      <c r="I8" s="31"/>
      <c r="J8" s="33" t="s">
        <v>101</v>
      </c>
      <c r="K8" s="33" t="s">
        <v>102</v>
      </c>
      <c r="L8" s="33" t="s">
        <v>103</v>
      </c>
      <c r="M8" s="34"/>
      <c r="N8" s="33"/>
      <c r="O8" s="34"/>
      <c r="P8" s="33"/>
      <c r="Q8" s="33"/>
      <c r="R8" s="34"/>
      <c r="S8" s="37"/>
      <c r="T8" s="33" t="s">
        <v>13</v>
      </c>
    </row>
    <row r="9" spans="1:20" s="17" customFormat="1">
      <c r="A9" s="30">
        <v>6</v>
      </c>
      <c r="B9" s="30"/>
      <c r="C9" s="30" t="s">
        <v>122</v>
      </c>
      <c r="D9" s="30" t="s">
        <v>123</v>
      </c>
      <c r="E9" s="31" t="s">
        <v>367</v>
      </c>
      <c r="F9" s="37"/>
      <c r="G9" s="33"/>
      <c r="H9" s="31"/>
      <c r="I9" s="31"/>
      <c r="J9" s="33" t="s">
        <v>101</v>
      </c>
      <c r="K9" s="33" t="s">
        <v>102</v>
      </c>
      <c r="L9" s="33" t="s">
        <v>103</v>
      </c>
      <c r="M9" s="34"/>
      <c r="N9" s="33"/>
      <c r="O9" s="34"/>
      <c r="P9" s="33"/>
      <c r="Q9" s="33"/>
      <c r="R9" s="33"/>
      <c r="S9" s="38"/>
      <c r="T9" s="33" t="s">
        <v>104</v>
      </c>
    </row>
    <row r="10" spans="1:20" s="17" customFormat="1">
      <c r="A10" s="30">
        <v>7</v>
      </c>
      <c r="B10" s="30"/>
      <c r="C10" s="30" t="s">
        <v>124</v>
      </c>
      <c r="D10" s="30" t="s">
        <v>125</v>
      </c>
      <c r="E10" s="31" t="s">
        <v>368</v>
      </c>
      <c r="F10" s="37"/>
      <c r="G10" s="33"/>
      <c r="H10" s="31"/>
      <c r="I10" s="31"/>
      <c r="J10" s="33" t="s">
        <v>101</v>
      </c>
      <c r="K10" s="33" t="s">
        <v>102</v>
      </c>
      <c r="L10" s="33" t="s">
        <v>103</v>
      </c>
      <c r="M10" s="34"/>
      <c r="N10" s="33"/>
      <c r="O10" s="34"/>
      <c r="P10" s="33"/>
      <c r="Q10" s="33"/>
      <c r="R10" s="34"/>
      <c r="S10" s="37"/>
      <c r="T10" s="33" t="s">
        <v>13</v>
      </c>
    </row>
    <row r="11" spans="1:20" s="17" customFormat="1">
      <c r="A11" s="30">
        <v>8</v>
      </c>
      <c r="B11" s="30"/>
      <c r="C11" s="30" t="s">
        <v>126</v>
      </c>
      <c r="D11" s="30" t="s">
        <v>127</v>
      </c>
      <c r="E11" s="31" t="s">
        <v>369</v>
      </c>
      <c r="F11" s="35"/>
      <c r="G11" s="30"/>
      <c r="H11" s="31"/>
      <c r="I11" s="31"/>
      <c r="J11" s="33" t="s">
        <v>101</v>
      </c>
      <c r="K11" s="33" t="s">
        <v>102</v>
      </c>
      <c r="L11" s="33" t="s">
        <v>103</v>
      </c>
      <c r="M11" s="34"/>
      <c r="N11" s="33"/>
      <c r="O11" s="34"/>
      <c r="P11" s="33"/>
      <c r="Q11" s="33"/>
      <c r="R11" s="34"/>
      <c r="S11" s="35"/>
      <c r="T11" s="30" t="s">
        <v>13</v>
      </c>
    </row>
    <row r="12" spans="1:20" s="17" customFormat="1">
      <c r="A12" s="30">
        <v>9</v>
      </c>
      <c r="B12" s="30"/>
      <c r="C12" s="30" t="s">
        <v>128</v>
      </c>
      <c r="D12" s="30" t="s">
        <v>129</v>
      </c>
      <c r="E12" s="31" t="s">
        <v>370</v>
      </c>
      <c r="F12" s="35"/>
      <c r="G12" s="30"/>
      <c r="H12" s="31"/>
      <c r="I12" s="31"/>
      <c r="J12" s="33" t="s">
        <v>101</v>
      </c>
      <c r="K12" s="33" t="s">
        <v>102</v>
      </c>
      <c r="L12" s="33" t="s">
        <v>103</v>
      </c>
      <c r="M12" s="33"/>
      <c r="N12" s="33"/>
      <c r="O12" s="34"/>
      <c r="P12" s="33"/>
      <c r="Q12" s="33"/>
      <c r="R12" s="34"/>
      <c r="S12" s="35"/>
      <c r="T12" s="30" t="s">
        <v>104</v>
      </c>
    </row>
    <row r="13" spans="1:20" s="17" customFormat="1">
      <c r="A13" s="30">
        <v>10</v>
      </c>
      <c r="B13" s="30"/>
      <c r="C13" s="30" t="s">
        <v>130</v>
      </c>
      <c r="D13" s="30" t="s">
        <v>131</v>
      </c>
      <c r="E13" s="31" t="s">
        <v>371</v>
      </c>
      <c r="F13" s="31"/>
      <c r="G13" s="32"/>
      <c r="H13" s="31"/>
      <c r="I13" s="31"/>
      <c r="J13" s="33" t="s">
        <v>101</v>
      </c>
      <c r="K13" s="33" t="s">
        <v>102</v>
      </c>
      <c r="L13" s="33" t="s">
        <v>103</v>
      </c>
      <c r="M13" s="34"/>
      <c r="N13" s="34"/>
      <c r="O13" s="34"/>
      <c r="P13" s="33"/>
      <c r="Q13" s="33"/>
      <c r="R13" s="33"/>
      <c r="S13" s="38"/>
      <c r="T13" s="32" t="s">
        <v>104</v>
      </c>
    </row>
    <row r="14" spans="1:20" s="17" customFormat="1">
      <c r="A14" s="30">
        <v>11</v>
      </c>
      <c r="B14" s="30"/>
      <c r="C14" s="30" t="s">
        <v>132</v>
      </c>
      <c r="D14" s="30" t="s">
        <v>133</v>
      </c>
      <c r="E14" s="31" t="s">
        <v>372</v>
      </c>
      <c r="F14" s="35"/>
      <c r="G14" s="30"/>
      <c r="H14" s="31"/>
      <c r="I14" s="31"/>
      <c r="J14" s="33" t="s">
        <v>101</v>
      </c>
      <c r="K14" s="33" t="s">
        <v>102</v>
      </c>
      <c r="L14" s="33" t="s">
        <v>103</v>
      </c>
      <c r="M14" s="34"/>
      <c r="N14" s="33"/>
      <c r="O14" s="34"/>
      <c r="P14" s="33"/>
      <c r="Q14" s="33"/>
      <c r="R14" s="34"/>
      <c r="S14" s="35"/>
      <c r="T14" s="30" t="s">
        <v>13</v>
      </c>
    </row>
    <row r="15" spans="1:20" s="17" customFormat="1">
      <c r="A15" s="30">
        <v>12</v>
      </c>
      <c r="B15" s="30"/>
      <c r="C15" s="30" t="s">
        <v>134</v>
      </c>
      <c r="D15" s="30" t="s">
        <v>135</v>
      </c>
      <c r="E15" s="31" t="s">
        <v>373</v>
      </c>
      <c r="F15" s="37"/>
      <c r="G15" s="33"/>
      <c r="H15" s="31"/>
      <c r="I15" s="31"/>
      <c r="J15" s="33" t="s">
        <v>101</v>
      </c>
      <c r="K15" s="33" t="s">
        <v>102</v>
      </c>
      <c r="L15" s="33" t="s">
        <v>103</v>
      </c>
      <c r="M15" s="34"/>
      <c r="N15" s="33"/>
      <c r="O15" s="34"/>
      <c r="P15" s="33"/>
      <c r="Q15" s="33"/>
      <c r="R15" s="34"/>
      <c r="S15" s="37"/>
      <c r="T15" s="33" t="s">
        <v>13</v>
      </c>
    </row>
    <row r="16" spans="1:20" s="17" customFormat="1">
      <c r="A16" s="30">
        <v>13</v>
      </c>
      <c r="B16" s="30"/>
      <c r="C16" s="30" t="s">
        <v>136</v>
      </c>
      <c r="D16" s="30" t="s">
        <v>137</v>
      </c>
      <c r="E16" s="31" t="s">
        <v>374</v>
      </c>
      <c r="F16" s="37"/>
      <c r="G16" s="33"/>
      <c r="H16" s="31"/>
      <c r="I16" s="31"/>
      <c r="J16" s="33" t="s">
        <v>101</v>
      </c>
      <c r="K16" s="33" t="s">
        <v>102</v>
      </c>
      <c r="L16" s="33" t="s">
        <v>103</v>
      </c>
      <c r="M16" s="40"/>
      <c r="N16" s="33"/>
      <c r="O16" s="34"/>
      <c r="P16" s="33"/>
      <c r="Q16" s="33"/>
      <c r="R16" s="34"/>
      <c r="S16" s="37"/>
      <c r="T16" s="33" t="s">
        <v>104</v>
      </c>
    </row>
    <row r="17" spans="1:20" s="17" customFormat="1">
      <c r="A17" s="30">
        <v>14</v>
      </c>
      <c r="B17" s="30"/>
      <c r="C17" s="30" t="s">
        <v>138</v>
      </c>
      <c r="D17" s="30">
        <v>103898</v>
      </c>
      <c r="E17" s="31" t="s">
        <v>375</v>
      </c>
      <c r="F17" s="35"/>
      <c r="G17" s="30"/>
      <c r="H17" s="35"/>
      <c r="I17" s="35"/>
      <c r="J17" s="30" t="s">
        <v>101</v>
      </c>
      <c r="K17" s="30" t="s">
        <v>102</v>
      </c>
      <c r="L17" s="30" t="s">
        <v>103</v>
      </c>
      <c r="M17" s="39"/>
      <c r="N17" s="36"/>
      <c r="O17" s="34"/>
      <c r="P17" s="36"/>
      <c r="Q17" s="36"/>
      <c r="R17" s="36"/>
      <c r="S17" s="35"/>
      <c r="T17" s="30" t="s">
        <v>104</v>
      </c>
    </row>
    <row r="18" spans="1:20" s="17" customFormat="1">
      <c r="A18" s="30">
        <v>15</v>
      </c>
      <c r="B18" s="30"/>
      <c r="C18" s="30" t="s">
        <v>339</v>
      </c>
      <c r="D18" s="30">
        <v>106568</v>
      </c>
      <c r="E18" s="31" t="s">
        <v>376</v>
      </c>
      <c r="F18" s="35"/>
      <c r="G18" s="30"/>
      <c r="H18" s="35"/>
      <c r="I18" s="35"/>
      <c r="J18" s="30" t="s">
        <v>101</v>
      </c>
      <c r="K18" s="30" t="s">
        <v>102</v>
      </c>
      <c r="L18" s="30" t="s">
        <v>103</v>
      </c>
      <c r="M18" s="39"/>
      <c r="N18" s="36"/>
      <c r="O18" s="34"/>
      <c r="P18" s="36"/>
      <c r="Q18" s="36"/>
      <c r="R18" s="36"/>
      <c r="S18" s="35"/>
      <c r="T18" s="30" t="s">
        <v>104</v>
      </c>
    </row>
  </sheetData>
  <autoFilter ref="A3:T18" xr:uid="{ABD74F4E-B61C-4D0F-8461-FB5C5C4FA9AF}"/>
  <conditionalFormatting sqref="G1 G4:G1048576">
    <cfRule type="duplicateValues" dxfId="1" priority="7"/>
  </conditionalFormatting>
  <dataValidations count="8">
    <dataValidation type="list" allowBlank="1" showInputMessage="1" showErrorMessage="1" sqref="R4 R14:R1048576 R10:R12 R7:R8" xr:uid="{39448BEA-E614-44C3-BEDB-FF580B53C803}">
      <formula1>INDIRECT("ADDRESSNAME")</formula1>
    </dataValidation>
    <dataValidation type="list" allowBlank="1" showInputMessage="1" showErrorMessage="1" sqref="Q17:Q1048576" xr:uid="{CF3D296E-2594-4413-8EA8-399E167676EC}">
      <formula1>INDIRECT("DELIVERYMETHOD")</formula1>
    </dataValidation>
    <dataValidation type="list" allowBlank="1" showInputMessage="1" showErrorMessage="1" sqref="P17:P1048576" xr:uid="{C6187A8A-02A3-4100-92C7-D6826FAB8460}">
      <formula1>INDIRECT("DELIVERYTERM")</formula1>
    </dataValidation>
    <dataValidation type="list" allowBlank="1" showInputMessage="1" showErrorMessage="1" sqref="L17:L1048576" xr:uid="{2B4B9805-8565-4FAC-8A0D-21DBCB6717BC}">
      <formula1>INDIRECT("SALESTAXGROUP")</formula1>
    </dataValidation>
    <dataValidation type="list" allowBlank="1" showInputMessage="1" showErrorMessage="1" sqref="K17:K1048576" xr:uid="{0CC3F207-7AE7-49A7-BCB6-2AA11C9FCAE5}">
      <formula1>INDIRECT("CURRENCY")</formula1>
    </dataValidation>
    <dataValidation type="list" allowBlank="1" showInputMessage="1" showErrorMessage="1" sqref="J17:J1048576" xr:uid="{1A3EF732-295D-4AF1-8CCC-A42146374BD4}">
      <formula1>INDIRECT("VENDORGROUP")</formula1>
    </dataValidation>
    <dataValidation type="list" allowBlank="1" showInputMessage="1" showErrorMessage="1" sqref="O4:O1048576" xr:uid="{D8A99DFA-8A3E-46A5-A6C5-1FA493640A2A}">
      <formula1>INDIRECT("METHODOFPAYMENT")</formula1>
    </dataValidation>
    <dataValidation type="list" allowBlank="1" showInputMessage="1" showErrorMessage="1" sqref="B4:B1048576" xr:uid="{0FB36F98-1EEB-4EA2-BE9E-0F272D1254EA}">
      <formula1>INDIRECT("KIND")</formula1>
    </dataValidation>
  </dataValidations>
  <pageMargins left="0.32" right="0.12" top="0.14000000000000001" bottom="0.15" header="0.1" footer="0.18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3192-7681-4C76-87CB-71A4F519C8CD}">
  <sheetPr>
    <tabColor theme="8" tint="0.79998168889431442"/>
  </sheetPr>
  <dimension ref="A3:F13"/>
  <sheetViews>
    <sheetView showGridLines="0" workbookViewId="0">
      <selection activeCell="D23" sqref="D23"/>
    </sheetView>
  </sheetViews>
  <sheetFormatPr defaultRowHeight="13.2"/>
  <cols>
    <col min="1" max="1" width="20.109375" style="7" bestFit="1" customWidth="1"/>
    <col min="2" max="2" width="27.44140625" style="7" bestFit="1" customWidth="1"/>
    <col min="3" max="4" width="18.6640625" style="7" bestFit="1" customWidth="1"/>
    <col min="5" max="5" width="12.6640625" style="7" bestFit="1" customWidth="1"/>
    <col min="6" max="16384" width="8.88671875" style="7"/>
  </cols>
  <sheetData>
    <row r="3" spans="1:6" s="6" customFormat="1" ht="46.8" customHeight="1">
      <c r="A3" s="25" t="s">
        <v>173</v>
      </c>
      <c r="B3" s="25" t="s">
        <v>174</v>
      </c>
      <c r="C3" s="25" t="s">
        <v>182</v>
      </c>
      <c r="D3" s="25" t="s">
        <v>183</v>
      </c>
      <c r="E3" s="25" t="s">
        <v>110</v>
      </c>
      <c r="F3" s="5"/>
    </row>
    <row r="4" spans="1:6" ht="15" customHeight="1">
      <c r="A4" s="29" t="s">
        <v>5</v>
      </c>
      <c r="B4" s="29" t="s">
        <v>352</v>
      </c>
      <c r="C4" s="29" t="s">
        <v>10</v>
      </c>
      <c r="D4" s="29" t="s">
        <v>10</v>
      </c>
      <c r="E4" s="29" t="s">
        <v>11</v>
      </c>
    </row>
    <row r="5" spans="1:6" ht="15" customHeight="1">
      <c r="A5" s="29" t="s">
        <v>6</v>
      </c>
      <c r="B5" s="29" t="s">
        <v>353</v>
      </c>
      <c r="C5" s="29" t="s">
        <v>12</v>
      </c>
      <c r="D5" s="29" t="s">
        <v>12</v>
      </c>
      <c r="E5" s="29" t="s">
        <v>13</v>
      </c>
    </row>
    <row r="6" spans="1:6" ht="15" customHeight="1">
      <c r="A6" s="29" t="s">
        <v>7</v>
      </c>
      <c r="B6" s="29" t="s">
        <v>354</v>
      </c>
      <c r="C6" s="29" t="s">
        <v>12</v>
      </c>
      <c r="D6" s="29" t="s">
        <v>12</v>
      </c>
      <c r="E6" s="29" t="s">
        <v>13</v>
      </c>
    </row>
    <row r="7" spans="1:6" ht="15" customHeight="1">
      <c r="A7" s="29" t="s">
        <v>8</v>
      </c>
      <c r="B7" s="29" t="s">
        <v>355</v>
      </c>
      <c r="C7" s="29" t="s">
        <v>15</v>
      </c>
      <c r="D7" s="29" t="s">
        <v>15</v>
      </c>
      <c r="E7" s="29" t="s">
        <v>14</v>
      </c>
    </row>
    <row r="8" spans="1:6" ht="15" customHeight="1">
      <c r="A8" s="29" t="s">
        <v>9</v>
      </c>
      <c r="B8" s="29" t="s">
        <v>356</v>
      </c>
      <c r="C8" s="29" t="s">
        <v>15</v>
      </c>
      <c r="D8" s="29" t="s">
        <v>15</v>
      </c>
      <c r="E8" s="29" t="s">
        <v>14</v>
      </c>
    </row>
    <row r="9" spans="1:6" ht="15" customHeight="1">
      <c r="A9" s="29" t="s">
        <v>210</v>
      </c>
      <c r="B9" s="29" t="s">
        <v>357</v>
      </c>
      <c r="C9" s="29" t="s">
        <v>12</v>
      </c>
      <c r="D9" s="29" t="s">
        <v>12</v>
      </c>
      <c r="E9" s="29" t="s">
        <v>13</v>
      </c>
    </row>
    <row r="10" spans="1:6" ht="15" customHeight="1">
      <c r="A10" s="29" t="s">
        <v>211</v>
      </c>
      <c r="B10" s="29" t="s">
        <v>358</v>
      </c>
      <c r="C10" s="29" t="s">
        <v>12</v>
      </c>
      <c r="D10" s="29" t="s">
        <v>12</v>
      </c>
      <c r="E10" s="29" t="s">
        <v>13</v>
      </c>
    </row>
    <row r="11" spans="1:6" ht="15" customHeight="1">
      <c r="A11" s="29" t="s">
        <v>212</v>
      </c>
      <c r="B11" s="29" t="s">
        <v>359</v>
      </c>
      <c r="C11" s="29" t="s">
        <v>12</v>
      </c>
      <c r="D11" s="29" t="s">
        <v>12</v>
      </c>
      <c r="E11" s="29" t="s">
        <v>13</v>
      </c>
    </row>
    <row r="12" spans="1:6" ht="15" customHeight="1">
      <c r="A12" s="29" t="s">
        <v>213</v>
      </c>
      <c r="B12" s="29" t="s">
        <v>360</v>
      </c>
      <c r="C12" s="29" t="s">
        <v>215</v>
      </c>
      <c r="D12" s="29" t="s">
        <v>215</v>
      </c>
      <c r="E12" s="29" t="s">
        <v>14</v>
      </c>
    </row>
    <row r="13" spans="1:6" ht="15" customHeight="1">
      <c r="A13" s="29" t="s">
        <v>214</v>
      </c>
      <c r="B13" s="29" t="s">
        <v>361</v>
      </c>
      <c r="C13" s="29" t="s">
        <v>215</v>
      </c>
      <c r="D13" s="29" t="s">
        <v>215</v>
      </c>
      <c r="E13" s="29" t="s">
        <v>14</v>
      </c>
    </row>
  </sheetData>
  <autoFilter ref="A3:E13" xr:uid="{71873192-7681-4C76-87CB-71A4F519C8CD}"/>
  <phoneticPr fontId="1" type="noConversion"/>
  <conditionalFormatting sqref="A1:A1048576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0F16-C5CF-4B18-B2CC-EFD1735EF2C3}">
  <sheetPr>
    <tabColor theme="9" tint="0.79998168889431442"/>
  </sheetPr>
  <dimension ref="A2:K16"/>
  <sheetViews>
    <sheetView showGridLines="0" workbookViewId="0">
      <selection activeCell="H29" sqref="H29"/>
    </sheetView>
  </sheetViews>
  <sheetFormatPr defaultRowHeight="13.2"/>
  <cols>
    <col min="1" max="1" width="14.88671875" style="6" customWidth="1"/>
    <col min="2" max="2" width="11.6640625" style="6" customWidth="1"/>
    <col min="3" max="3" width="26.88671875" style="50" customWidth="1"/>
    <col min="4" max="4" width="13.44140625" style="50" bestFit="1" customWidth="1"/>
    <col min="5" max="5" width="23.44140625" style="6" bestFit="1" customWidth="1"/>
    <col min="6" max="6" width="10.33203125" style="6" bestFit="1" customWidth="1"/>
    <col min="7" max="7" width="14.109375" style="6" customWidth="1"/>
    <col min="8" max="8" width="13.109375" style="6" customWidth="1"/>
    <col min="9" max="9" width="17.77734375" style="6" customWidth="1"/>
    <col min="10" max="11" width="16" style="48" bestFit="1" customWidth="1"/>
    <col min="12" max="16384" width="8.88671875" style="6"/>
  </cols>
  <sheetData>
    <row r="2" spans="1:11">
      <c r="G2" s="53"/>
      <c r="H2" s="53"/>
    </row>
    <row r="3" spans="1:11" s="5" customFormat="1" ht="39.6">
      <c r="A3" s="25" t="s">
        <v>173</v>
      </c>
      <c r="B3" s="25" t="s">
        <v>140</v>
      </c>
      <c r="C3" s="25" t="s">
        <v>141</v>
      </c>
      <c r="D3" s="25" t="s">
        <v>190</v>
      </c>
      <c r="E3" s="25" t="s">
        <v>195</v>
      </c>
      <c r="F3" s="25" t="s">
        <v>191</v>
      </c>
      <c r="G3" s="25" t="s">
        <v>192</v>
      </c>
      <c r="H3" s="25" t="s">
        <v>193</v>
      </c>
      <c r="I3" s="25" t="s">
        <v>194</v>
      </c>
      <c r="J3" s="41" t="s">
        <v>196</v>
      </c>
      <c r="K3" s="41" t="s">
        <v>197</v>
      </c>
    </row>
    <row r="4" spans="1:11">
      <c r="A4" s="23" t="s">
        <v>9</v>
      </c>
      <c r="B4" s="23" t="s">
        <v>28</v>
      </c>
      <c r="C4" s="49" t="s">
        <v>29</v>
      </c>
      <c r="D4" s="49"/>
      <c r="E4" s="23" t="s">
        <v>94</v>
      </c>
      <c r="F4" s="23" t="s">
        <v>34</v>
      </c>
      <c r="G4" s="43">
        <v>610.1438176930219</v>
      </c>
      <c r="H4" s="43">
        <v>207142.85714285713</v>
      </c>
      <c r="I4" s="43">
        <v>126386933.66498309</v>
      </c>
      <c r="J4" s="47">
        <v>44682</v>
      </c>
      <c r="K4" s="47">
        <v>44896</v>
      </c>
    </row>
    <row r="5" spans="1:11">
      <c r="A5" s="23" t="s">
        <v>9</v>
      </c>
      <c r="B5" s="23" t="s">
        <v>61</v>
      </c>
      <c r="C5" s="49" t="s">
        <v>305</v>
      </c>
      <c r="D5" s="49"/>
      <c r="E5" s="23" t="s">
        <v>88</v>
      </c>
      <c r="F5" s="23" t="s">
        <v>41</v>
      </c>
      <c r="G5" s="43">
        <v>2001051.8365865999</v>
      </c>
      <c r="H5" s="43">
        <v>128.57142857142858</v>
      </c>
      <c r="I5" s="43">
        <v>257278093.27542001</v>
      </c>
      <c r="J5" s="47">
        <v>44682</v>
      </c>
      <c r="K5" s="47">
        <v>44896</v>
      </c>
    </row>
    <row r="6" spans="1:11">
      <c r="A6" s="23" t="s">
        <v>9</v>
      </c>
      <c r="B6" s="23" t="s">
        <v>48</v>
      </c>
      <c r="C6" s="49" t="s">
        <v>291</v>
      </c>
      <c r="D6" s="49"/>
      <c r="E6" s="23" t="s">
        <v>88</v>
      </c>
      <c r="F6" s="23" t="s">
        <v>41</v>
      </c>
      <c r="G6" s="43">
        <v>402572.62971660006</v>
      </c>
      <c r="H6" s="43">
        <v>128.57142857142858</v>
      </c>
      <c r="I6" s="43">
        <v>51759338.10642001</v>
      </c>
      <c r="J6" s="47">
        <v>44682</v>
      </c>
      <c r="K6" s="47">
        <v>44896</v>
      </c>
    </row>
    <row r="7" spans="1:11">
      <c r="A7" s="23" t="s">
        <v>9</v>
      </c>
      <c r="B7" s="23" t="s">
        <v>55</v>
      </c>
      <c r="C7" s="49" t="s">
        <v>299</v>
      </c>
      <c r="D7" s="49"/>
      <c r="E7" s="23" t="s">
        <v>88</v>
      </c>
      <c r="F7" s="23" t="s">
        <v>41</v>
      </c>
      <c r="G7" s="43">
        <v>1</v>
      </c>
      <c r="H7" s="43">
        <v>64.285714285714292</v>
      </c>
      <c r="I7" s="43">
        <v>64.285714285714292</v>
      </c>
      <c r="J7" s="47">
        <v>44682</v>
      </c>
      <c r="K7" s="47">
        <v>44896</v>
      </c>
    </row>
    <row r="8" spans="1:11">
      <c r="A8" s="23" t="s">
        <v>9</v>
      </c>
      <c r="B8" s="23" t="s">
        <v>39</v>
      </c>
      <c r="C8" s="49" t="s">
        <v>283</v>
      </c>
      <c r="D8" s="49"/>
      <c r="E8" s="23" t="s">
        <v>88</v>
      </c>
      <c r="F8" s="23" t="s">
        <v>41</v>
      </c>
      <c r="G8" s="43">
        <v>1</v>
      </c>
      <c r="H8" s="43">
        <v>172.85714285714286</v>
      </c>
      <c r="I8" s="43">
        <v>172.85714285714286</v>
      </c>
      <c r="J8" s="47">
        <v>44682</v>
      </c>
      <c r="K8" s="47">
        <v>44896</v>
      </c>
    </row>
    <row r="9" spans="1:11">
      <c r="A9" s="23" t="s">
        <v>9</v>
      </c>
      <c r="B9" s="23" t="s">
        <v>73</v>
      </c>
      <c r="C9" s="49" t="s">
        <v>319</v>
      </c>
      <c r="D9" s="49"/>
      <c r="E9" s="23" t="s">
        <v>88</v>
      </c>
      <c r="F9" s="23" t="s">
        <v>41</v>
      </c>
      <c r="G9" s="43">
        <v>83862.026109645012</v>
      </c>
      <c r="H9" s="43">
        <v>175.28571428571428</v>
      </c>
      <c r="I9" s="43">
        <v>14699815.148076346</v>
      </c>
      <c r="J9" s="47">
        <v>44682</v>
      </c>
      <c r="K9" s="47">
        <v>44896</v>
      </c>
    </row>
    <row r="10" spans="1:11">
      <c r="A10" s="23" t="s">
        <v>9</v>
      </c>
      <c r="B10" s="23" t="s">
        <v>69</v>
      </c>
      <c r="C10" s="49" t="s">
        <v>315</v>
      </c>
      <c r="D10" s="49"/>
      <c r="E10" s="23" t="s">
        <v>88</v>
      </c>
      <c r="F10" s="23" t="s">
        <v>41</v>
      </c>
      <c r="G10" s="43">
        <v>0</v>
      </c>
      <c r="H10" s="43">
        <v>0</v>
      </c>
      <c r="I10" s="43">
        <v>0</v>
      </c>
      <c r="J10" s="47">
        <v>44682</v>
      </c>
      <c r="K10" s="47">
        <v>44896</v>
      </c>
    </row>
    <row r="11" spans="1:11">
      <c r="A11" s="23" t="s">
        <v>9</v>
      </c>
      <c r="B11" s="23" t="s">
        <v>84</v>
      </c>
      <c r="C11" s="49" t="s">
        <v>330</v>
      </c>
      <c r="D11" s="49"/>
      <c r="E11" s="23" t="s">
        <v>88</v>
      </c>
      <c r="F11" s="23" t="s">
        <v>41</v>
      </c>
      <c r="G11" s="43">
        <v>0</v>
      </c>
      <c r="H11" s="43">
        <v>0</v>
      </c>
      <c r="I11" s="43">
        <v>0</v>
      </c>
      <c r="J11" s="47">
        <v>44682</v>
      </c>
      <c r="K11" s="47">
        <v>44896</v>
      </c>
    </row>
    <row r="12" spans="1:11">
      <c r="A12" s="23" t="s">
        <v>5</v>
      </c>
      <c r="B12" s="23" t="s">
        <v>28</v>
      </c>
      <c r="C12" s="49" t="s">
        <v>29</v>
      </c>
      <c r="D12" s="49"/>
      <c r="E12" s="23" t="s">
        <v>94</v>
      </c>
      <c r="F12" s="23" t="s">
        <v>34</v>
      </c>
      <c r="G12" s="43">
        <v>187.83333333333334</v>
      </c>
      <c r="H12" s="43">
        <v>190909.14285714287</v>
      </c>
      <c r="I12" s="43">
        <v>35859100.666666672</v>
      </c>
      <c r="J12" s="47">
        <v>44531</v>
      </c>
      <c r="K12" s="47">
        <v>44896</v>
      </c>
    </row>
    <row r="13" spans="1:11">
      <c r="A13" s="23" t="s">
        <v>5</v>
      </c>
      <c r="B13" s="23" t="s">
        <v>58</v>
      </c>
      <c r="C13" s="49" t="s">
        <v>302</v>
      </c>
      <c r="D13" s="49"/>
      <c r="E13" s="23" t="s">
        <v>87</v>
      </c>
      <c r="F13" s="23" t="s">
        <v>41</v>
      </c>
      <c r="G13" s="43">
        <v>402968.33333333331</v>
      </c>
      <c r="H13" s="43">
        <v>182.14285714285714</v>
      </c>
      <c r="I13" s="43">
        <v>73397803.571428567</v>
      </c>
      <c r="J13" s="47">
        <v>44531</v>
      </c>
      <c r="K13" s="47">
        <v>44896</v>
      </c>
    </row>
    <row r="14" spans="1:11">
      <c r="A14" s="23" t="s">
        <v>5</v>
      </c>
      <c r="B14" s="23" t="s">
        <v>44</v>
      </c>
      <c r="C14" s="49" t="s">
        <v>285</v>
      </c>
      <c r="D14" s="49"/>
      <c r="E14" s="23" t="s">
        <v>88</v>
      </c>
      <c r="F14" s="23" t="s">
        <v>41</v>
      </c>
      <c r="G14" s="43">
        <v>146051.83333333334</v>
      </c>
      <c r="H14" s="43">
        <v>169.42857142857139</v>
      </c>
      <c r="I14" s="43">
        <v>24745353.47619047</v>
      </c>
      <c r="J14" s="47">
        <v>44531</v>
      </c>
      <c r="K14" s="47">
        <v>44896</v>
      </c>
    </row>
    <row r="15" spans="1:11">
      <c r="A15" s="23" t="s">
        <v>6</v>
      </c>
      <c r="B15" s="23" t="s">
        <v>46</v>
      </c>
      <c r="C15" s="49" t="s">
        <v>287</v>
      </c>
      <c r="D15" s="49"/>
      <c r="E15" s="23" t="s">
        <v>87</v>
      </c>
      <c r="F15" s="23" t="s">
        <v>41</v>
      </c>
      <c r="G15" s="43">
        <v>900000</v>
      </c>
      <c r="H15" s="43">
        <v>182.85714285714286</v>
      </c>
      <c r="I15" s="43">
        <v>164571428.57142857</v>
      </c>
      <c r="J15" s="47">
        <v>44348</v>
      </c>
      <c r="K15" s="47">
        <v>44713</v>
      </c>
    </row>
    <row r="16" spans="1:11">
      <c r="A16" s="23" t="s">
        <v>6</v>
      </c>
      <c r="B16" s="23" t="s">
        <v>28</v>
      </c>
      <c r="C16" s="49" t="s">
        <v>29</v>
      </c>
      <c r="D16" s="49"/>
      <c r="E16" s="23" t="s">
        <v>95</v>
      </c>
      <c r="F16" s="23" t="s">
        <v>34</v>
      </c>
      <c r="G16" s="43">
        <v>89.666666666666671</v>
      </c>
      <c r="H16" s="43">
        <v>138961.03896103895</v>
      </c>
      <c r="I16" s="43">
        <v>12460173.160173161</v>
      </c>
      <c r="J16" s="47">
        <v>44348</v>
      </c>
      <c r="K16" s="47">
        <v>44713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9368-09AE-4BBB-B282-7116E93A9F53}">
  <sheetPr>
    <tabColor theme="5" tint="0.59999389629810485"/>
  </sheetPr>
  <dimension ref="A2:L364"/>
  <sheetViews>
    <sheetView showGridLines="0" tabSelected="1" zoomScaleNormal="100" workbookViewId="0">
      <selection activeCell="G20" sqref="G20"/>
    </sheetView>
  </sheetViews>
  <sheetFormatPr defaultRowHeight="13.2"/>
  <cols>
    <col min="1" max="1" width="16" style="7" bestFit="1" customWidth="1"/>
    <col min="2" max="2" width="20.5546875" style="7" bestFit="1" customWidth="1"/>
    <col min="3" max="3" width="16.6640625" style="7" bestFit="1" customWidth="1"/>
    <col min="4" max="4" width="35.6640625" style="50" bestFit="1" customWidth="1"/>
    <col min="5" max="5" width="13.77734375" style="50" bestFit="1" customWidth="1"/>
    <col min="6" max="6" width="11.5546875" style="6" bestFit="1" customWidth="1"/>
    <col min="7" max="7" width="13.33203125" style="45" bestFit="1" customWidth="1"/>
    <col min="8" max="8" width="18" style="45" bestFit="1" customWidth="1"/>
    <col min="9" max="9" width="18.5546875" style="46" bestFit="1" customWidth="1"/>
    <col min="10" max="10" width="15.77734375" style="46" bestFit="1" customWidth="1"/>
    <col min="11" max="11" width="18.21875" style="46" bestFit="1" customWidth="1"/>
    <col min="12" max="12" width="27.88671875" style="7" bestFit="1" customWidth="1"/>
    <col min="13" max="16" width="8.88671875" style="7"/>
    <col min="17" max="17" width="11.77734375" style="7" customWidth="1"/>
    <col min="18" max="18" width="5.21875" style="7" bestFit="1" customWidth="1"/>
    <col min="19" max="16384" width="8.88671875" style="7"/>
  </cols>
  <sheetData>
    <row r="2" spans="1:12" s="42" customFormat="1" ht="37.200000000000003" customHeight="1">
      <c r="A2" s="25" t="s">
        <v>173</v>
      </c>
      <c r="B2" s="25" t="s">
        <v>189</v>
      </c>
      <c r="C2" s="25" t="s">
        <v>140</v>
      </c>
      <c r="D2" s="25" t="s">
        <v>200</v>
      </c>
      <c r="E2" s="25" t="s">
        <v>206</v>
      </c>
      <c r="F2" s="25" t="s">
        <v>191</v>
      </c>
      <c r="G2" s="25" t="s">
        <v>199</v>
      </c>
      <c r="H2" s="25" t="s">
        <v>198</v>
      </c>
      <c r="I2" s="25" t="s">
        <v>201</v>
      </c>
      <c r="J2" s="25" t="s">
        <v>202</v>
      </c>
      <c r="K2" s="25" t="s">
        <v>203</v>
      </c>
      <c r="L2" s="25" t="s">
        <v>111</v>
      </c>
    </row>
    <row r="3" spans="1:12">
      <c r="A3" s="23" t="s">
        <v>9</v>
      </c>
      <c r="B3" s="51" t="s">
        <v>137</v>
      </c>
      <c r="C3" s="23" t="s">
        <v>28</v>
      </c>
      <c r="D3" s="49" t="str">
        <f>"T01: PCB40 | T02: "&amp;E3&amp;" | T03: Xám"</f>
        <v>T01: PCB40 | T02: PC | T03: Xám</v>
      </c>
      <c r="E3" s="49" t="s">
        <v>254</v>
      </c>
      <c r="F3" s="23" t="s">
        <v>34</v>
      </c>
      <c r="G3" s="43">
        <v>209090.90909090909</v>
      </c>
      <c r="H3" s="43"/>
      <c r="I3" s="44">
        <v>44533</v>
      </c>
      <c r="J3" s="44"/>
      <c r="K3" s="44" t="s">
        <v>204</v>
      </c>
      <c r="L3" s="23"/>
    </row>
    <row r="4" spans="1:12">
      <c r="A4" s="23" t="s">
        <v>9</v>
      </c>
      <c r="B4" s="51" t="s">
        <v>137</v>
      </c>
      <c r="C4" s="23" t="s">
        <v>28</v>
      </c>
      <c r="D4" s="49" t="str">
        <f t="shared" ref="D4:D67" si="0">"T01: PCB40 | T02: "&amp;E4&amp;" | T03: Xám"</f>
        <v>T01: PCB40 | T02: FCBD | T03: Xám</v>
      </c>
      <c r="E4" s="49" t="s">
        <v>269</v>
      </c>
      <c r="F4" s="23" t="s">
        <v>34</v>
      </c>
      <c r="G4" s="43">
        <v>197402.59740259737</v>
      </c>
      <c r="H4" s="43"/>
      <c r="I4" s="44">
        <v>44533</v>
      </c>
      <c r="J4" s="44"/>
      <c r="K4" s="44" t="s">
        <v>204</v>
      </c>
      <c r="L4" s="23"/>
    </row>
    <row r="5" spans="1:12">
      <c r="A5" s="23" t="s">
        <v>9</v>
      </c>
      <c r="B5" s="51" t="s">
        <v>137</v>
      </c>
      <c r="C5" s="23" t="s">
        <v>28</v>
      </c>
      <c r="D5" s="49" t="str">
        <f t="shared" si="0"/>
        <v>T01: PCB40 | T02: TLG | T03: Xám</v>
      </c>
      <c r="E5" s="49" t="s">
        <v>280</v>
      </c>
      <c r="F5" s="23" t="s">
        <v>34</v>
      </c>
      <c r="G5" s="43">
        <v>197402.59740259737</v>
      </c>
      <c r="H5" s="43"/>
      <c r="I5" s="44">
        <v>44533</v>
      </c>
      <c r="J5" s="44"/>
      <c r="K5" s="44" t="s">
        <v>204</v>
      </c>
      <c r="L5" s="23"/>
    </row>
    <row r="6" spans="1:12">
      <c r="A6" s="23" t="s">
        <v>9</v>
      </c>
      <c r="B6" s="51" t="s">
        <v>137</v>
      </c>
      <c r="C6" s="23" t="s">
        <v>28</v>
      </c>
      <c r="D6" s="49" t="str">
        <f t="shared" si="0"/>
        <v>T01: PCB40 | T02: VCHL | T03: Xám</v>
      </c>
      <c r="E6" s="49" t="s">
        <v>270</v>
      </c>
      <c r="F6" s="23" t="s">
        <v>34</v>
      </c>
      <c r="G6" s="43">
        <v>197402.59740259737</v>
      </c>
      <c r="H6" s="43"/>
      <c r="I6" s="44">
        <v>44533</v>
      </c>
      <c r="J6" s="44"/>
      <c r="K6" s="44" t="s">
        <v>204</v>
      </c>
      <c r="L6" s="23"/>
    </row>
    <row r="7" spans="1:12">
      <c r="A7" s="23" t="s">
        <v>9</v>
      </c>
      <c r="B7" s="51" t="s">
        <v>137</v>
      </c>
      <c r="C7" s="23" t="s">
        <v>28</v>
      </c>
      <c r="D7" s="49" t="str">
        <f t="shared" si="0"/>
        <v>T01: PCB40 | T02: VCHT1 | T03: Xám</v>
      </c>
      <c r="E7" s="49" t="s">
        <v>271</v>
      </c>
      <c r="F7" s="23" t="s">
        <v>34</v>
      </c>
      <c r="G7" s="43">
        <v>218181.81818181815</v>
      </c>
      <c r="H7" s="43"/>
      <c r="I7" s="44">
        <v>44533</v>
      </c>
      <c r="J7" s="44"/>
      <c r="K7" s="44" t="s">
        <v>204</v>
      </c>
      <c r="L7" s="23"/>
    </row>
    <row r="8" spans="1:12">
      <c r="A8" s="23" t="s">
        <v>9</v>
      </c>
      <c r="B8" s="51" t="s">
        <v>137</v>
      </c>
      <c r="C8" s="23" t="s">
        <v>28</v>
      </c>
      <c r="D8" s="49" t="str">
        <f t="shared" si="0"/>
        <v>T01: PCB40 | T02: PC | T03: Xám</v>
      </c>
      <c r="E8" s="49" t="s">
        <v>254</v>
      </c>
      <c r="F8" s="23" t="s">
        <v>34</v>
      </c>
      <c r="G8" s="43">
        <v>210129.87012987011</v>
      </c>
      <c r="H8" s="43"/>
      <c r="I8" s="44">
        <v>44566</v>
      </c>
      <c r="J8" s="44"/>
      <c r="K8" s="44" t="s">
        <v>205</v>
      </c>
      <c r="L8" s="23"/>
    </row>
    <row r="9" spans="1:12">
      <c r="A9" s="23" t="s">
        <v>9</v>
      </c>
      <c r="B9" s="51" t="s">
        <v>137</v>
      </c>
      <c r="C9" s="23" t="s">
        <v>28</v>
      </c>
      <c r="D9" s="49" t="str">
        <f t="shared" si="0"/>
        <v>T01: PCB40 | T02: FCBD | T03: Xám</v>
      </c>
      <c r="E9" s="49" t="s">
        <v>269</v>
      </c>
      <c r="F9" s="23" t="s">
        <v>34</v>
      </c>
      <c r="G9" s="43">
        <v>198441.55844155845</v>
      </c>
      <c r="H9" s="43"/>
      <c r="I9" s="44">
        <v>44566</v>
      </c>
      <c r="J9" s="44"/>
      <c r="K9" s="44" t="s">
        <v>205</v>
      </c>
      <c r="L9" s="23"/>
    </row>
    <row r="10" spans="1:12">
      <c r="A10" s="23" t="s">
        <v>9</v>
      </c>
      <c r="B10" s="51" t="s">
        <v>137</v>
      </c>
      <c r="C10" s="23" t="s">
        <v>28</v>
      </c>
      <c r="D10" s="49" t="str">
        <f t="shared" si="0"/>
        <v>T01: PCB40 | T02: TLG | T03: Xám</v>
      </c>
      <c r="E10" s="49" t="s">
        <v>280</v>
      </c>
      <c r="F10" s="23" t="s">
        <v>34</v>
      </c>
      <c r="G10" s="43">
        <v>198441.55844155845</v>
      </c>
      <c r="H10" s="43"/>
      <c r="I10" s="44">
        <v>44566</v>
      </c>
      <c r="J10" s="44"/>
      <c r="K10" s="44" t="s">
        <v>205</v>
      </c>
      <c r="L10" s="23"/>
    </row>
    <row r="11" spans="1:12">
      <c r="A11" s="23" t="s">
        <v>9</v>
      </c>
      <c r="B11" s="51" t="s">
        <v>137</v>
      </c>
      <c r="C11" s="23" t="s">
        <v>28</v>
      </c>
      <c r="D11" s="49" t="str">
        <f t="shared" si="0"/>
        <v>T01: PCB40 | T02: VCHL | T03: Xám</v>
      </c>
      <c r="E11" s="49" t="s">
        <v>270</v>
      </c>
      <c r="F11" s="23" t="s">
        <v>34</v>
      </c>
      <c r="G11" s="43">
        <v>198441.55844155845</v>
      </c>
      <c r="H11" s="43"/>
      <c r="I11" s="44">
        <v>44566</v>
      </c>
      <c r="J11" s="44"/>
      <c r="K11" s="44" t="s">
        <v>205</v>
      </c>
      <c r="L11" s="23"/>
    </row>
    <row r="12" spans="1:12">
      <c r="A12" s="23" t="s">
        <v>9</v>
      </c>
      <c r="B12" s="51" t="s">
        <v>137</v>
      </c>
      <c r="C12" s="23" t="s">
        <v>28</v>
      </c>
      <c r="D12" s="49" t="str">
        <f t="shared" si="0"/>
        <v>T01: PCB40 | T02: VCHT1 | T03: Xám</v>
      </c>
      <c r="E12" s="49" t="s">
        <v>271</v>
      </c>
      <c r="F12" s="23" t="s">
        <v>34</v>
      </c>
      <c r="G12" s="43">
        <v>219220.77922077919</v>
      </c>
      <c r="H12" s="43"/>
      <c r="I12" s="44">
        <v>44566</v>
      </c>
      <c r="J12" s="44"/>
      <c r="K12" s="44" t="s">
        <v>205</v>
      </c>
      <c r="L12" s="23"/>
    </row>
    <row r="13" spans="1:12">
      <c r="A13" s="23" t="s">
        <v>9</v>
      </c>
      <c r="B13" s="51" t="s">
        <v>137</v>
      </c>
      <c r="C13" s="23" t="s">
        <v>28</v>
      </c>
      <c r="D13" s="49" t="str">
        <f t="shared" si="0"/>
        <v>T01: PCB40 | T02: FCBD | T03: Xám</v>
      </c>
      <c r="E13" s="49" t="s">
        <v>269</v>
      </c>
      <c r="F13" s="23" t="s">
        <v>34</v>
      </c>
      <c r="G13" s="43">
        <v>194805.1948051948</v>
      </c>
      <c r="H13" s="43"/>
      <c r="I13" s="44">
        <v>44567</v>
      </c>
      <c r="J13" s="44"/>
      <c r="K13" s="44" t="s">
        <v>205</v>
      </c>
      <c r="L13" s="23"/>
    </row>
    <row r="14" spans="1:12">
      <c r="A14" s="23" t="s">
        <v>9</v>
      </c>
      <c r="B14" s="51" t="s">
        <v>137</v>
      </c>
      <c r="C14" s="23" t="s">
        <v>28</v>
      </c>
      <c r="D14" s="49" t="str">
        <f t="shared" si="0"/>
        <v>T01: PCB40 | T02: TLG | T03: Xám</v>
      </c>
      <c r="E14" s="49" t="s">
        <v>280</v>
      </c>
      <c r="F14" s="23" t="s">
        <v>34</v>
      </c>
      <c r="G14" s="43">
        <v>194805.1948051948</v>
      </c>
      <c r="H14" s="43"/>
      <c r="I14" s="44">
        <v>44567</v>
      </c>
      <c r="J14" s="44"/>
      <c r="K14" s="44" t="s">
        <v>205</v>
      </c>
      <c r="L14" s="23"/>
    </row>
    <row r="15" spans="1:12">
      <c r="A15" s="23" t="s">
        <v>9</v>
      </c>
      <c r="B15" s="51" t="s">
        <v>137</v>
      </c>
      <c r="C15" s="23" t="s">
        <v>28</v>
      </c>
      <c r="D15" s="49" t="str">
        <f t="shared" si="0"/>
        <v>T01: PCB40 | T02: VCHL | T03: Xám</v>
      </c>
      <c r="E15" s="49" t="s">
        <v>270</v>
      </c>
      <c r="F15" s="23" t="s">
        <v>34</v>
      </c>
      <c r="G15" s="43">
        <v>194805.1948051948</v>
      </c>
      <c r="H15" s="43"/>
      <c r="I15" s="44">
        <v>44567</v>
      </c>
      <c r="J15" s="44"/>
      <c r="K15" s="44" t="s">
        <v>205</v>
      </c>
      <c r="L15" s="23"/>
    </row>
    <row r="16" spans="1:12">
      <c r="A16" s="23" t="s">
        <v>9</v>
      </c>
      <c r="B16" s="51" t="s">
        <v>137</v>
      </c>
      <c r="C16" s="23" t="s">
        <v>28</v>
      </c>
      <c r="D16" s="49" t="str">
        <f t="shared" si="0"/>
        <v>T01: PCB40 | T02: FCBD | T03: Xám</v>
      </c>
      <c r="E16" s="49" t="s">
        <v>269</v>
      </c>
      <c r="F16" s="23" t="s">
        <v>34</v>
      </c>
      <c r="G16" s="43">
        <v>192207.7922077922</v>
      </c>
      <c r="H16" s="43"/>
      <c r="I16" s="44">
        <v>44568</v>
      </c>
      <c r="J16" s="44"/>
      <c r="K16" s="44" t="s">
        <v>205</v>
      </c>
      <c r="L16" s="23"/>
    </row>
    <row r="17" spans="1:12">
      <c r="A17" s="23" t="s">
        <v>9</v>
      </c>
      <c r="B17" s="51" t="s">
        <v>137</v>
      </c>
      <c r="C17" s="23" t="s">
        <v>28</v>
      </c>
      <c r="D17" s="49" t="str">
        <f t="shared" si="0"/>
        <v>T01: PCB40 | T02: TLG | T03: Xám</v>
      </c>
      <c r="E17" s="49" t="s">
        <v>280</v>
      </c>
      <c r="F17" s="23" t="s">
        <v>34</v>
      </c>
      <c r="G17" s="43">
        <v>192207.7922077922</v>
      </c>
      <c r="H17" s="43"/>
      <c r="I17" s="44">
        <v>44568</v>
      </c>
      <c r="J17" s="44"/>
      <c r="K17" s="44" t="s">
        <v>205</v>
      </c>
      <c r="L17" s="23"/>
    </row>
    <row r="18" spans="1:12">
      <c r="A18" s="23" t="s">
        <v>9</v>
      </c>
      <c r="B18" s="51" t="s">
        <v>137</v>
      </c>
      <c r="C18" s="23" t="s">
        <v>28</v>
      </c>
      <c r="D18" s="49" t="str">
        <f t="shared" si="0"/>
        <v>T01: PCB40 | T02: VCHL | T03: Xám</v>
      </c>
      <c r="E18" s="49" t="s">
        <v>270</v>
      </c>
      <c r="F18" s="23" t="s">
        <v>34</v>
      </c>
      <c r="G18" s="43">
        <v>192207.7922077922</v>
      </c>
      <c r="H18" s="43"/>
      <c r="I18" s="44">
        <v>44568</v>
      </c>
      <c r="J18" s="44"/>
      <c r="K18" s="44" t="s">
        <v>205</v>
      </c>
      <c r="L18" s="23"/>
    </row>
    <row r="19" spans="1:12">
      <c r="A19" s="23" t="s">
        <v>9</v>
      </c>
      <c r="B19" s="51" t="s">
        <v>137</v>
      </c>
      <c r="C19" s="23" t="s">
        <v>28</v>
      </c>
      <c r="D19" s="49" t="str">
        <f t="shared" si="0"/>
        <v>T01: PCB40 | T02: FCBD | T03: Xám</v>
      </c>
      <c r="E19" s="49" t="s">
        <v>269</v>
      </c>
      <c r="F19" s="23" t="s">
        <v>34</v>
      </c>
      <c r="G19" s="43">
        <v>190476.19047619044</v>
      </c>
      <c r="H19" s="43">
        <v>190476.19047619044</v>
      </c>
      <c r="I19" s="44">
        <v>44621</v>
      </c>
      <c r="J19" s="44"/>
      <c r="K19" s="44" t="s">
        <v>205</v>
      </c>
      <c r="L19" s="23"/>
    </row>
    <row r="20" spans="1:12">
      <c r="A20" s="23" t="s">
        <v>9</v>
      </c>
      <c r="B20" s="51" t="s">
        <v>137</v>
      </c>
      <c r="C20" s="23" t="s">
        <v>28</v>
      </c>
      <c r="D20" s="49" t="str">
        <f t="shared" si="0"/>
        <v>T01: PCB40 | T02: TLG | T03: Xám</v>
      </c>
      <c r="E20" s="49" t="s">
        <v>280</v>
      </c>
      <c r="F20" s="23" t="s">
        <v>34</v>
      </c>
      <c r="G20" s="43">
        <v>190476.19047619044</v>
      </c>
      <c r="H20" s="43">
        <v>190476.19047619044</v>
      </c>
      <c r="I20" s="44">
        <v>44621</v>
      </c>
      <c r="J20" s="44"/>
      <c r="K20" s="44" t="s">
        <v>205</v>
      </c>
      <c r="L20" s="23"/>
    </row>
    <row r="21" spans="1:12">
      <c r="A21" s="23" t="s">
        <v>9</v>
      </c>
      <c r="B21" s="51" t="s">
        <v>137</v>
      </c>
      <c r="C21" s="23" t="s">
        <v>28</v>
      </c>
      <c r="D21" s="49" t="str">
        <f t="shared" si="0"/>
        <v>T01: PCB40 | T02: VCHL | T03: Xám</v>
      </c>
      <c r="E21" s="49" t="s">
        <v>270</v>
      </c>
      <c r="F21" s="23" t="s">
        <v>34</v>
      </c>
      <c r="G21" s="43">
        <v>190476.19047619044</v>
      </c>
      <c r="H21" s="43">
        <v>190476.19047619044</v>
      </c>
      <c r="I21" s="44">
        <v>44621</v>
      </c>
      <c r="J21" s="44"/>
      <c r="K21" s="44" t="s">
        <v>205</v>
      </c>
      <c r="L21" s="23"/>
    </row>
    <row r="22" spans="1:12">
      <c r="A22" s="23" t="s">
        <v>9</v>
      </c>
      <c r="B22" s="51" t="s">
        <v>137</v>
      </c>
      <c r="C22" s="23" t="s">
        <v>28</v>
      </c>
      <c r="D22" s="49" t="str">
        <f t="shared" si="0"/>
        <v>T01: PCB40 | T02: FCBD | T03: Xám</v>
      </c>
      <c r="E22" s="49" t="s">
        <v>269</v>
      </c>
      <c r="F22" s="23" t="s">
        <v>34</v>
      </c>
      <c r="G22" s="43">
        <v>200661.37566137564</v>
      </c>
      <c r="H22" s="43"/>
      <c r="I22" s="44">
        <v>44682</v>
      </c>
      <c r="J22" s="44"/>
      <c r="K22" s="44" t="s">
        <v>205</v>
      </c>
      <c r="L22" s="23"/>
    </row>
    <row r="23" spans="1:12">
      <c r="A23" s="23" t="s">
        <v>9</v>
      </c>
      <c r="B23" s="51" t="s">
        <v>137</v>
      </c>
      <c r="C23" s="23" t="s">
        <v>28</v>
      </c>
      <c r="D23" s="49" t="str">
        <f t="shared" si="0"/>
        <v>T01: PCB40 | T02: TLG | T03: Xám</v>
      </c>
      <c r="E23" s="49" t="s">
        <v>280</v>
      </c>
      <c r="F23" s="23" t="s">
        <v>34</v>
      </c>
      <c r="G23" s="43">
        <v>200661.37566137564</v>
      </c>
      <c r="H23" s="43"/>
      <c r="I23" s="44">
        <v>44682</v>
      </c>
      <c r="J23" s="44"/>
      <c r="K23" s="44" t="s">
        <v>205</v>
      </c>
      <c r="L23" s="23"/>
    </row>
    <row r="24" spans="1:12">
      <c r="A24" s="23" t="s">
        <v>9</v>
      </c>
      <c r="B24" s="51" t="s">
        <v>137</v>
      </c>
      <c r="C24" s="23" t="s">
        <v>28</v>
      </c>
      <c r="D24" s="49" t="str">
        <f t="shared" si="0"/>
        <v>T01: PCB40 | T02: VCHL | T03: Xám</v>
      </c>
      <c r="E24" s="49" t="s">
        <v>270</v>
      </c>
      <c r="F24" s="23" t="s">
        <v>34</v>
      </c>
      <c r="G24" s="43">
        <v>200661.37566137564</v>
      </c>
      <c r="H24" s="43"/>
      <c r="I24" s="44">
        <v>44682</v>
      </c>
      <c r="J24" s="44"/>
      <c r="K24" s="44" t="s">
        <v>205</v>
      </c>
      <c r="L24" s="23"/>
    </row>
    <row r="25" spans="1:12">
      <c r="A25" s="23" t="s">
        <v>9</v>
      </c>
      <c r="B25" s="51" t="s">
        <v>137</v>
      </c>
      <c r="C25" s="23" t="s">
        <v>28</v>
      </c>
      <c r="D25" s="49" t="str">
        <f t="shared" si="0"/>
        <v>T01: PCB40 | T02: FCBD | T03: Xám</v>
      </c>
      <c r="E25" s="49" t="s">
        <v>269</v>
      </c>
      <c r="F25" s="23" t="s">
        <v>34</v>
      </c>
      <c r="G25" s="43">
        <v>197089.94708994706</v>
      </c>
      <c r="H25" s="43"/>
      <c r="I25" s="44">
        <v>44699</v>
      </c>
      <c r="J25" s="44"/>
      <c r="K25" s="44" t="s">
        <v>205</v>
      </c>
      <c r="L25" s="23"/>
    </row>
    <row r="26" spans="1:12">
      <c r="A26" s="23" t="s">
        <v>9</v>
      </c>
      <c r="B26" s="51" t="s">
        <v>137</v>
      </c>
      <c r="C26" s="23" t="s">
        <v>28</v>
      </c>
      <c r="D26" s="49" t="str">
        <f t="shared" si="0"/>
        <v>T01: PCB40 | T02: TLG | T03: Xám</v>
      </c>
      <c r="E26" s="49" t="s">
        <v>280</v>
      </c>
      <c r="F26" s="23" t="s">
        <v>34</v>
      </c>
      <c r="G26" s="43">
        <v>197089.94708994706</v>
      </c>
      <c r="H26" s="43"/>
      <c r="I26" s="44">
        <v>44699</v>
      </c>
      <c r="J26" s="44"/>
      <c r="K26" s="44" t="s">
        <v>205</v>
      </c>
      <c r="L26" s="23"/>
    </row>
    <row r="27" spans="1:12">
      <c r="A27" s="23" t="s">
        <v>9</v>
      </c>
      <c r="B27" s="51" t="s">
        <v>137</v>
      </c>
      <c r="C27" s="23" t="s">
        <v>28</v>
      </c>
      <c r="D27" s="49" t="str">
        <f t="shared" si="0"/>
        <v>T01: PCB40 | T02: VCHL | T03: Xám</v>
      </c>
      <c r="E27" s="49" t="s">
        <v>270</v>
      </c>
      <c r="F27" s="23" t="s">
        <v>34</v>
      </c>
      <c r="G27" s="43">
        <v>197089.94708994706</v>
      </c>
      <c r="H27" s="43"/>
      <c r="I27" s="44">
        <v>44699</v>
      </c>
      <c r="J27" s="44"/>
      <c r="K27" s="44" t="s">
        <v>205</v>
      </c>
      <c r="L27" s="23"/>
    </row>
    <row r="28" spans="1:12">
      <c r="A28" s="23" t="s">
        <v>9</v>
      </c>
      <c r="B28" s="51" t="s">
        <v>131</v>
      </c>
      <c r="C28" s="23" t="s">
        <v>28</v>
      </c>
      <c r="D28" s="49" t="str">
        <f t="shared" si="0"/>
        <v>T01: PCB40 | T02: TLG | T03: Xám</v>
      </c>
      <c r="E28" s="49" t="s">
        <v>280</v>
      </c>
      <c r="F28" s="23" t="s">
        <v>34</v>
      </c>
      <c r="G28" s="43">
        <v>200000</v>
      </c>
      <c r="H28" s="43"/>
      <c r="I28" s="44">
        <v>44550</v>
      </c>
      <c r="J28" s="44"/>
      <c r="K28" s="44" t="s">
        <v>205</v>
      </c>
      <c r="L28" s="23"/>
    </row>
    <row r="29" spans="1:12">
      <c r="A29" s="23" t="s">
        <v>9</v>
      </c>
      <c r="B29" s="23" t="s">
        <v>131</v>
      </c>
      <c r="C29" s="23" t="s">
        <v>28</v>
      </c>
      <c r="D29" s="49" t="str">
        <f t="shared" si="0"/>
        <v>T01: PCB40 | T02: IS | T03: Xám</v>
      </c>
      <c r="E29" s="49" t="s">
        <v>260</v>
      </c>
      <c r="F29" s="23" t="s">
        <v>34</v>
      </c>
      <c r="G29" s="43">
        <v>202597.40259740254</v>
      </c>
      <c r="H29" s="43"/>
      <c r="I29" s="44">
        <v>44550</v>
      </c>
      <c r="J29" s="44"/>
      <c r="K29" s="44" t="s">
        <v>205</v>
      </c>
      <c r="L29" s="23"/>
    </row>
    <row r="30" spans="1:12">
      <c r="A30" s="23" t="s">
        <v>9</v>
      </c>
      <c r="B30" s="23" t="s">
        <v>131</v>
      </c>
      <c r="C30" s="23" t="s">
        <v>28</v>
      </c>
      <c r="D30" s="49" t="str">
        <f t="shared" si="0"/>
        <v>T01: PCB40 | T02: TLG | T03: Xám</v>
      </c>
      <c r="E30" s="49" t="s">
        <v>280</v>
      </c>
      <c r="F30" s="23" t="s">
        <v>34</v>
      </c>
      <c r="G30" s="43">
        <v>194805.1948051948</v>
      </c>
      <c r="H30" s="43"/>
      <c r="I30" s="44">
        <v>44551</v>
      </c>
      <c r="J30" s="44"/>
      <c r="K30" s="44" t="s">
        <v>205</v>
      </c>
      <c r="L30" s="23"/>
    </row>
    <row r="31" spans="1:12">
      <c r="A31" s="23" t="s">
        <v>9</v>
      </c>
      <c r="B31" s="23" t="s">
        <v>131</v>
      </c>
      <c r="C31" s="23" t="s">
        <v>28</v>
      </c>
      <c r="D31" s="49" t="str">
        <f t="shared" si="0"/>
        <v>T01: PCB40 | T02: IS | T03: Xám</v>
      </c>
      <c r="E31" s="49" t="s">
        <v>260</v>
      </c>
      <c r="F31" s="23" t="s">
        <v>34</v>
      </c>
      <c r="G31" s="43">
        <v>194805.1948051948</v>
      </c>
      <c r="H31" s="43"/>
      <c r="I31" s="44">
        <v>44551</v>
      </c>
      <c r="J31" s="44"/>
      <c r="K31" s="44" t="s">
        <v>205</v>
      </c>
      <c r="L31" s="23"/>
    </row>
    <row r="32" spans="1:12">
      <c r="A32" s="23" t="s">
        <v>9</v>
      </c>
      <c r="B32" s="23" t="s">
        <v>131</v>
      </c>
      <c r="C32" s="23" t="s">
        <v>28</v>
      </c>
      <c r="D32" s="49" t="str">
        <f t="shared" si="0"/>
        <v>T01: PCB40 | T02: TLG | T03: Xám</v>
      </c>
      <c r="E32" s="49" t="s">
        <v>280</v>
      </c>
      <c r="F32" s="23" t="s">
        <v>34</v>
      </c>
      <c r="G32" s="43">
        <v>190909.09090909088</v>
      </c>
      <c r="H32" s="43"/>
      <c r="I32" s="44">
        <v>44569</v>
      </c>
      <c r="J32" s="44"/>
      <c r="K32" s="44" t="s">
        <v>205</v>
      </c>
      <c r="L32" s="23"/>
    </row>
    <row r="33" spans="1:12">
      <c r="A33" s="23" t="s">
        <v>9</v>
      </c>
      <c r="B33" s="23" t="s">
        <v>131</v>
      </c>
      <c r="C33" s="23" t="s">
        <v>28</v>
      </c>
      <c r="D33" s="49" t="str">
        <f t="shared" si="0"/>
        <v>T01: PCB40 | T02: IS | T03: Xám</v>
      </c>
      <c r="E33" s="49" t="s">
        <v>260</v>
      </c>
      <c r="F33" s="23" t="s">
        <v>34</v>
      </c>
      <c r="G33" s="43">
        <v>190909.09090909088</v>
      </c>
      <c r="H33" s="43"/>
      <c r="I33" s="44">
        <v>44569</v>
      </c>
      <c r="J33" s="44"/>
      <c r="K33" s="44" t="s">
        <v>205</v>
      </c>
      <c r="L33" s="23"/>
    </row>
    <row r="34" spans="1:12">
      <c r="A34" s="23" t="s">
        <v>9</v>
      </c>
      <c r="B34" s="23" t="s">
        <v>131</v>
      </c>
      <c r="C34" s="23" t="s">
        <v>28</v>
      </c>
      <c r="D34" s="49" t="str">
        <f t="shared" si="0"/>
        <v>T01: PCB40 | T02: TLG | T03: Xám</v>
      </c>
      <c r="E34" s="49" t="s">
        <v>280</v>
      </c>
      <c r="F34" s="23" t="s">
        <v>34</v>
      </c>
      <c r="G34" s="43">
        <v>194444.44444444444</v>
      </c>
      <c r="H34" s="43"/>
      <c r="I34" s="44">
        <v>44620</v>
      </c>
      <c r="J34" s="44"/>
      <c r="K34" s="44" t="s">
        <v>205</v>
      </c>
      <c r="L34" s="23"/>
    </row>
    <row r="35" spans="1:12">
      <c r="A35" s="23" t="s">
        <v>9</v>
      </c>
      <c r="B35" s="23" t="s">
        <v>131</v>
      </c>
      <c r="C35" s="23" t="s">
        <v>28</v>
      </c>
      <c r="D35" s="49" t="str">
        <f t="shared" si="0"/>
        <v>T01: PCB40 | T02: IS | T03: Xám</v>
      </c>
      <c r="E35" s="49" t="s">
        <v>260</v>
      </c>
      <c r="F35" s="23" t="s">
        <v>34</v>
      </c>
      <c r="G35" s="43">
        <v>194444.44444444444</v>
      </c>
      <c r="H35" s="43"/>
      <c r="I35" s="44">
        <v>44620</v>
      </c>
      <c r="J35" s="44"/>
      <c r="K35" s="44" t="s">
        <v>205</v>
      </c>
      <c r="L35" s="23"/>
    </row>
    <row r="36" spans="1:12">
      <c r="A36" s="23" t="s">
        <v>9</v>
      </c>
      <c r="B36" s="23" t="s">
        <v>127</v>
      </c>
      <c r="C36" s="23" t="s">
        <v>28</v>
      </c>
      <c r="D36" s="49" t="str">
        <f t="shared" si="0"/>
        <v>T01: PCB40 | T02: TLG | T03: Xám</v>
      </c>
      <c r="E36" s="49" t="s">
        <v>280</v>
      </c>
      <c r="F36" s="23" t="s">
        <v>34</v>
      </c>
      <c r="G36" s="43">
        <v>193506.49350649348</v>
      </c>
      <c r="H36" s="43"/>
      <c r="I36" s="44">
        <v>44547</v>
      </c>
      <c r="J36" s="44"/>
      <c r="K36" s="44" t="s">
        <v>205</v>
      </c>
      <c r="L36" s="23"/>
    </row>
    <row r="37" spans="1:12">
      <c r="A37" s="23" t="s">
        <v>9</v>
      </c>
      <c r="B37" s="23" t="s">
        <v>127</v>
      </c>
      <c r="C37" s="23" t="s">
        <v>28</v>
      </c>
      <c r="D37" s="49" t="str">
        <f t="shared" si="0"/>
        <v>T01: PCB40 | T02: TLG | T03: Xám</v>
      </c>
      <c r="E37" s="49" t="s">
        <v>280</v>
      </c>
      <c r="F37" s="23" t="s">
        <v>34</v>
      </c>
      <c r="G37" s="43">
        <v>192207.7922077922</v>
      </c>
      <c r="H37" s="43"/>
      <c r="I37" s="44">
        <v>44556</v>
      </c>
      <c r="J37" s="44"/>
      <c r="K37" s="44" t="s">
        <v>205</v>
      </c>
      <c r="L37" s="23"/>
    </row>
    <row r="38" spans="1:12">
      <c r="A38" s="23" t="s">
        <v>9</v>
      </c>
      <c r="B38" s="23" t="s">
        <v>113</v>
      </c>
      <c r="C38" s="23" t="s">
        <v>28</v>
      </c>
      <c r="D38" s="49" t="str">
        <f t="shared" si="0"/>
        <v>T01: PCB40 | T02: TLG | T03: Xám</v>
      </c>
      <c r="E38" s="49" t="s">
        <v>280</v>
      </c>
      <c r="F38" s="23" t="s">
        <v>34</v>
      </c>
      <c r="G38" s="43">
        <v>200000</v>
      </c>
      <c r="H38" s="43"/>
      <c r="I38" s="44">
        <v>44539</v>
      </c>
      <c r="J38" s="44"/>
      <c r="K38" s="44" t="s">
        <v>205</v>
      </c>
      <c r="L38" s="23"/>
    </row>
    <row r="39" spans="1:12">
      <c r="A39" s="23" t="s">
        <v>9</v>
      </c>
      <c r="B39" s="23" t="s">
        <v>113</v>
      </c>
      <c r="C39" s="23" t="s">
        <v>28</v>
      </c>
      <c r="D39" s="49" t="str">
        <f t="shared" si="0"/>
        <v>T01: PCB40 | T02: VCHT1 | T03: Xám</v>
      </c>
      <c r="E39" s="49" t="s">
        <v>271</v>
      </c>
      <c r="F39" s="23" t="s">
        <v>34</v>
      </c>
      <c r="G39" s="43">
        <v>207792.20779220777</v>
      </c>
      <c r="H39" s="43"/>
      <c r="I39" s="44">
        <v>44539</v>
      </c>
      <c r="J39" s="44"/>
      <c r="K39" s="44" t="s">
        <v>205</v>
      </c>
      <c r="L39" s="23"/>
    </row>
    <row r="40" spans="1:12">
      <c r="A40" s="23" t="s">
        <v>9</v>
      </c>
      <c r="B40" s="23" t="s">
        <v>113</v>
      </c>
      <c r="C40" s="23" t="s">
        <v>28</v>
      </c>
      <c r="D40" s="49" t="str">
        <f t="shared" si="0"/>
        <v>T01: PCB40 | T02: TLG | T03: Xám</v>
      </c>
      <c r="E40" s="49" t="s">
        <v>280</v>
      </c>
      <c r="F40" s="23" t="s">
        <v>34</v>
      </c>
      <c r="G40" s="43">
        <v>195767.19576719575</v>
      </c>
      <c r="H40" s="43"/>
      <c r="I40" s="44">
        <v>44617</v>
      </c>
      <c r="J40" s="44"/>
      <c r="K40" s="44" t="s">
        <v>205</v>
      </c>
      <c r="L40" s="23"/>
    </row>
    <row r="41" spans="1:12">
      <c r="A41" s="23" t="s">
        <v>9</v>
      </c>
      <c r="B41" s="23" t="s">
        <v>113</v>
      </c>
      <c r="C41" s="23" t="s">
        <v>28</v>
      </c>
      <c r="D41" s="49" t="str">
        <f t="shared" si="0"/>
        <v>T01: PCB40 | T02: VCHT1 | T03: Xám</v>
      </c>
      <c r="E41" s="49" t="s">
        <v>271</v>
      </c>
      <c r="F41" s="23" t="s">
        <v>34</v>
      </c>
      <c r="G41" s="43">
        <v>207671.95767195764</v>
      </c>
      <c r="H41" s="43"/>
      <c r="I41" s="44">
        <v>44617</v>
      </c>
      <c r="J41" s="44"/>
      <c r="K41" s="44" t="s">
        <v>205</v>
      </c>
      <c r="L41" s="23"/>
    </row>
    <row r="42" spans="1:12">
      <c r="A42" s="23" t="s">
        <v>9</v>
      </c>
      <c r="B42" s="23" t="s">
        <v>113</v>
      </c>
      <c r="C42" s="23" t="s">
        <v>28</v>
      </c>
      <c r="D42" s="49" t="str">
        <f t="shared" si="0"/>
        <v>T01: PCB40 | T02: CP | T03: Xám</v>
      </c>
      <c r="E42" s="49" t="s">
        <v>265</v>
      </c>
      <c r="F42" s="23" t="s">
        <v>34</v>
      </c>
      <c r="G42" s="43">
        <v>195767.19576719575</v>
      </c>
      <c r="H42" s="43"/>
      <c r="I42" s="44">
        <v>44617</v>
      </c>
      <c r="J42" s="44"/>
      <c r="K42" s="44" t="s">
        <v>205</v>
      </c>
      <c r="L42" s="23"/>
    </row>
    <row r="43" spans="1:12">
      <c r="A43" s="23" t="s">
        <v>9</v>
      </c>
      <c r="B43" s="23" t="s">
        <v>129</v>
      </c>
      <c r="C43" s="23" t="s">
        <v>28</v>
      </c>
      <c r="D43" s="49" t="str">
        <f t="shared" si="0"/>
        <v>T01: PCB40 | T02: TLG | T03: Xám</v>
      </c>
      <c r="E43" s="49" t="s">
        <v>280</v>
      </c>
      <c r="F43" s="23" t="s">
        <v>34</v>
      </c>
      <c r="G43" s="43">
        <v>200000</v>
      </c>
      <c r="H43" s="43"/>
      <c r="I43" s="44">
        <v>44547</v>
      </c>
      <c r="J43" s="44"/>
      <c r="K43" s="44" t="s">
        <v>205</v>
      </c>
      <c r="L43" s="23"/>
    </row>
    <row r="44" spans="1:12">
      <c r="A44" s="23" t="s">
        <v>9</v>
      </c>
      <c r="B44" s="23" t="s">
        <v>129</v>
      </c>
      <c r="C44" s="23" t="s">
        <v>28</v>
      </c>
      <c r="D44" s="49" t="str">
        <f t="shared" si="0"/>
        <v>T01: PCB40 | T02: NS | T03: Xám</v>
      </c>
      <c r="E44" s="49" t="s">
        <v>255</v>
      </c>
      <c r="F44" s="23" t="s">
        <v>34</v>
      </c>
      <c r="G44" s="43">
        <v>207792.20779220777</v>
      </c>
      <c r="H44" s="43"/>
      <c r="I44" s="44">
        <v>44547</v>
      </c>
      <c r="J44" s="44"/>
      <c r="K44" s="44" t="s">
        <v>205</v>
      </c>
      <c r="L44" s="23"/>
    </row>
    <row r="45" spans="1:12">
      <c r="A45" s="23" t="s">
        <v>9</v>
      </c>
      <c r="B45" s="23" t="s">
        <v>340</v>
      </c>
      <c r="C45" s="23" t="s">
        <v>28</v>
      </c>
      <c r="D45" s="49" t="str">
        <f t="shared" si="0"/>
        <v>T01: PCB40 | T02: FCBD | T03: Xám</v>
      </c>
      <c r="E45" s="49" t="s">
        <v>269</v>
      </c>
      <c r="F45" s="23" t="s">
        <v>34</v>
      </c>
      <c r="G45" s="43">
        <v>196103.89610389611</v>
      </c>
      <c r="H45" s="43"/>
      <c r="I45" s="44">
        <v>44552</v>
      </c>
      <c r="J45" s="44"/>
      <c r="K45" s="44" t="s">
        <v>205</v>
      </c>
      <c r="L45" s="23"/>
    </row>
    <row r="46" spans="1:12">
      <c r="A46" s="23" t="s">
        <v>9</v>
      </c>
      <c r="B46" s="23" t="s">
        <v>340</v>
      </c>
      <c r="C46" s="23" t="s">
        <v>28</v>
      </c>
      <c r="D46" s="49" t="str">
        <f t="shared" si="0"/>
        <v>T01: PCB40 | T02: TLG | T03: Xám</v>
      </c>
      <c r="E46" s="49" t="s">
        <v>280</v>
      </c>
      <c r="F46" s="23" t="s">
        <v>34</v>
      </c>
      <c r="G46" s="43">
        <v>193506.49350649348</v>
      </c>
      <c r="H46" s="43"/>
      <c r="I46" s="44">
        <v>44552</v>
      </c>
      <c r="J46" s="44"/>
      <c r="K46" s="44" t="s">
        <v>205</v>
      </c>
      <c r="L46" s="23"/>
    </row>
    <row r="47" spans="1:12">
      <c r="A47" s="23" t="s">
        <v>9</v>
      </c>
      <c r="B47" s="23" t="s">
        <v>340</v>
      </c>
      <c r="C47" s="23" t="s">
        <v>28</v>
      </c>
      <c r="D47" s="49" t="str">
        <f t="shared" si="0"/>
        <v>T01: PCB40 | T02: VCHT1 | T03: Xám</v>
      </c>
      <c r="E47" s="49" t="s">
        <v>271</v>
      </c>
      <c r="F47" s="23" t="s">
        <v>34</v>
      </c>
      <c r="G47" s="43">
        <v>215584.41558441552</v>
      </c>
      <c r="H47" s="43"/>
      <c r="I47" s="44">
        <v>44552</v>
      </c>
      <c r="J47" s="44"/>
      <c r="K47" s="44" t="s">
        <v>205</v>
      </c>
      <c r="L47" s="23"/>
    </row>
    <row r="48" spans="1:12">
      <c r="A48" s="23" t="s">
        <v>9</v>
      </c>
      <c r="B48" s="23" t="s">
        <v>340</v>
      </c>
      <c r="C48" s="23" t="s">
        <v>28</v>
      </c>
      <c r="D48" s="49" t="str">
        <f t="shared" si="0"/>
        <v>T01: PCB40 | T02: NS | T03: Xám</v>
      </c>
      <c r="E48" s="49" t="s">
        <v>255</v>
      </c>
      <c r="F48" s="23" t="s">
        <v>34</v>
      </c>
      <c r="G48" s="43">
        <v>203896.10389610386</v>
      </c>
      <c r="H48" s="43"/>
      <c r="I48" s="44">
        <v>44552</v>
      </c>
      <c r="J48" s="44"/>
      <c r="K48" s="44" t="s">
        <v>205</v>
      </c>
      <c r="L48" s="23"/>
    </row>
    <row r="49" spans="1:12">
      <c r="A49" s="23" t="s">
        <v>9</v>
      </c>
      <c r="B49" s="23" t="s">
        <v>340</v>
      </c>
      <c r="C49" s="23" t="s">
        <v>28</v>
      </c>
      <c r="D49" s="49" t="str">
        <f t="shared" si="0"/>
        <v>T01: PCB40 | T02: CP | T03: Xám</v>
      </c>
      <c r="E49" s="49" t="s">
        <v>265</v>
      </c>
      <c r="F49" s="23" t="s">
        <v>34</v>
      </c>
      <c r="G49" s="43">
        <v>193506.49350649348</v>
      </c>
      <c r="H49" s="43"/>
      <c r="I49" s="44">
        <v>44552</v>
      </c>
      <c r="J49" s="44"/>
      <c r="K49" s="44" t="s">
        <v>205</v>
      </c>
      <c r="L49" s="23"/>
    </row>
    <row r="50" spans="1:12">
      <c r="A50" s="23" t="s">
        <v>9</v>
      </c>
      <c r="B50" s="23" t="s">
        <v>340</v>
      </c>
      <c r="C50" s="23" t="s">
        <v>28</v>
      </c>
      <c r="D50" s="49" t="str">
        <f t="shared" si="0"/>
        <v>T01: PCB40 | T02: TLG | T03: Xám</v>
      </c>
      <c r="E50" s="49" t="s">
        <v>280</v>
      </c>
      <c r="F50" s="23" t="s">
        <v>34</v>
      </c>
      <c r="G50" s="43">
        <v>193783.06878306877</v>
      </c>
      <c r="H50" s="43"/>
      <c r="I50" s="44">
        <v>44579</v>
      </c>
      <c r="J50" s="44"/>
      <c r="K50" s="44" t="s">
        <v>205</v>
      </c>
      <c r="L50" s="23"/>
    </row>
    <row r="51" spans="1:12">
      <c r="A51" s="23" t="s">
        <v>9</v>
      </c>
      <c r="B51" s="23" t="s">
        <v>340</v>
      </c>
      <c r="C51" s="23" t="s">
        <v>28</v>
      </c>
      <c r="D51" s="49" t="str">
        <f t="shared" si="0"/>
        <v>T01: PCB40 | T02: NS | T03: Xám</v>
      </c>
      <c r="E51" s="49" t="s">
        <v>255</v>
      </c>
      <c r="F51" s="23" t="s">
        <v>34</v>
      </c>
      <c r="G51" s="43">
        <v>202380.95238095237</v>
      </c>
      <c r="H51" s="43"/>
      <c r="I51" s="44">
        <v>44579</v>
      </c>
      <c r="J51" s="44"/>
      <c r="K51" s="44" t="s">
        <v>205</v>
      </c>
      <c r="L51" s="23"/>
    </row>
    <row r="52" spans="1:12">
      <c r="A52" s="23" t="s">
        <v>9</v>
      </c>
      <c r="B52" s="23" t="s">
        <v>340</v>
      </c>
      <c r="C52" s="23" t="s">
        <v>28</v>
      </c>
      <c r="D52" s="49" t="str">
        <f t="shared" si="0"/>
        <v>T01: PCB40 | T02: CP | T03: Xám</v>
      </c>
      <c r="E52" s="49" t="s">
        <v>265</v>
      </c>
      <c r="F52" s="23" t="s">
        <v>34</v>
      </c>
      <c r="G52" s="43">
        <v>189610.38961038957</v>
      </c>
      <c r="H52" s="43"/>
      <c r="I52" s="44">
        <v>44579</v>
      </c>
      <c r="J52" s="44"/>
      <c r="K52" s="44" t="s">
        <v>205</v>
      </c>
      <c r="L52" s="23"/>
    </row>
    <row r="53" spans="1:12">
      <c r="A53" s="23" t="s">
        <v>9</v>
      </c>
      <c r="B53" s="23" t="s">
        <v>340</v>
      </c>
      <c r="C53" s="23" t="s">
        <v>28</v>
      </c>
      <c r="D53" s="49" t="str">
        <f t="shared" si="0"/>
        <v>T01: PCB40 | T02: FCBD | T03: Xám</v>
      </c>
      <c r="E53" s="49" t="s">
        <v>269</v>
      </c>
      <c r="F53" s="23" t="s">
        <v>34</v>
      </c>
      <c r="G53" s="43">
        <v>195767.19576719575</v>
      </c>
      <c r="H53" s="43"/>
      <c r="I53" s="44">
        <v>44622</v>
      </c>
      <c r="J53" s="44"/>
      <c r="K53" s="44" t="s">
        <v>205</v>
      </c>
      <c r="L53" s="23"/>
    </row>
    <row r="54" spans="1:12">
      <c r="A54" s="23" t="s">
        <v>9</v>
      </c>
      <c r="B54" s="23" t="s">
        <v>340</v>
      </c>
      <c r="C54" s="23" t="s">
        <v>28</v>
      </c>
      <c r="D54" s="49" t="str">
        <f t="shared" si="0"/>
        <v>T01: PCB40 | T02: TLG | T03: Xám</v>
      </c>
      <c r="E54" s="49" t="s">
        <v>280</v>
      </c>
      <c r="F54" s="23" t="s">
        <v>34</v>
      </c>
      <c r="G54" s="43">
        <v>190476.19047619044</v>
      </c>
      <c r="H54" s="43"/>
      <c r="I54" s="44">
        <v>44622</v>
      </c>
      <c r="J54" s="44"/>
      <c r="K54" s="44" t="s">
        <v>205</v>
      </c>
      <c r="L54" s="23"/>
    </row>
    <row r="55" spans="1:12">
      <c r="A55" s="23" t="s">
        <v>9</v>
      </c>
      <c r="B55" s="23" t="s">
        <v>340</v>
      </c>
      <c r="C55" s="23" t="s">
        <v>28</v>
      </c>
      <c r="D55" s="49" t="str">
        <f t="shared" si="0"/>
        <v>T01: PCB40 | T02: CP | T03: Xám</v>
      </c>
      <c r="E55" s="49" t="s">
        <v>265</v>
      </c>
      <c r="F55" s="23" t="s">
        <v>34</v>
      </c>
      <c r="G55" s="43">
        <v>191798.94179894176</v>
      </c>
      <c r="H55" s="43"/>
      <c r="I55" s="44">
        <v>44622</v>
      </c>
      <c r="J55" s="44"/>
      <c r="K55" s="44" t="s">
        <v>205</v>
      </c>
      <c r="L55" s="23"/>
    </row>
    <row r="56" spans="1:12">
      <c r="A56" s="23" t="s">
        <v>9</v>
      </c>
      <c r="B56" s="23" t="s">
        <v>341</v>
      </c>
      <c r="C56" s="23" t="s">
        <v>28</v>
      </c>
      <c r="D56" s="49" t="str">
        <f t="shared" si="0"/>
        <v>T01: PCB40 | T02: VCHT1 | T03: Xám</v>
      </c>
      <c r="E56" s="49" t="s">
        <v>271</v>
      </c>
      <c r="F56" s="23" t="s">
        <v>34</v>
      </c>
      <c r="G56" s="43">
        <v>215584.41558441552</v>
      </c>
      <c r="H56" s="43"/>
      <c r="I56" s="44">
        <v>44552</v>
      </c>
      <c r="J56" s="44"/>
      <c r="K56" s="44" t="s">
        <v>205</v>
      </c>
      <c r="L56" s="23"/>
    </row>
    <row r="57" spans="1:12">
      <c r="A57" s="23" t="s">
        <v>9</v>
      </c>
      <c r="B57" s="23" t="s">
        <v>341</v>
      </c>
      <c r="C57" s="23" t="s">
        <v>28</v>
      </c>
      <c r="D57" s="49" t="str">
        <f t="shared" si="0"/>
        <v>T01: PCB40 | T02: VCHXT | T03: Xám</v>
      </c>
      <c r="E57" s="49" t="s">
        <v>272</v>
      </c>
      <c r="F57" s="23" t="s">
        <v>34</v>
      </c>
      <c r="G57" s="43">
        <v>197402.59740259737</v>
      </c>
      <c r="H57" s="43"/>
      <c r="I57" s="44">
        <v>44552</v>
      </c>
      <c r="J57" s="44"/>
      <c r="K57" s="44" t="s">
        <v>205</v>
      </c>
      <c r="L57" s="23"/>
    </row>
    <row r="58" spans="1:12">
      <c r="A58" s="23" t="s">
        <v>9</v>
      </c>
      <c r="B58" s="23" t="s">
        <v>341</v>
      </c>
      <c r="C58" s="23" t="s">
        <v>28</v>
      </c>
      <c r="D58" s="49" t="str">
        <f t="shared" si="0"/>
        <v>T01: PCB40 | T02: VCHT1 | T03: Xám</v>
      </c>
      <c r="E58" s="49" t="s">
        <v>271</v>
      </c>
      <c r="F58" s="23" t="s">
        <v>34</v>
      </c>
      <c r="G58" s="43">
        <v>215584.41558441552</v>
      </c>
      <c r="H58" s="43"/>
      <c r="I58" s="44">
        <v>44552</v>
      </c>
      <c r="J58" s="44"/>
      <c r="K58" s="44" t="s">
        <v>205</v>
      </c>
      <c r="L58" s="23"/>
    </row>
    <row r="59" spans="1:12">
      <c r="A59" s="23" t="s">
        <v>9</v>
      </c>
      <c r="B59" s="23" t="s">
        <v>341</v>
      </c>
      <c r="C59" s="23" t="s">
        <v>28</v>
      </c>
      <c r="D59" s="49" t="str">
        <f t="shared" si="0"/>
        <v>T01: PCB40 | T02: VCHTDD | T03: Xám</v>
      </c>
      <c r="E59" s="49" t="s">
        <v>273</v>
      </c>
      <c r="F59" s="23" t="s">
        <v>34</v>
      </c>
      <c r="G59" s="43">
        <v>194805.1948051948</v>
      </c>
      <c r="H59" s="43"/>
      <c r="I59" s="44">
        <v>44552</v>
      </c>
      <c r="J59" s="44"/>
      <c r="K59" s="44" t="s">
        <v>205</v>
      </c>
      <c r="L59" s="23"/>
    </row>
    <row r="60" spans="1:12">
      <c r="A60" s="23" t="s">
        <v>9</v>
      </c>
      <c r="B60" s="23" t="s">
        <v>341</v>
      </c>
      <c r="C60" s="23" t="s">
        <v>28</v>
      </c>
      <c r="D60" s="49" t="str">
        <f t="shared" si="0"/>
        <v>T01: PCB40 | T02: VCHXT | T03: Xám</v>
      </c>
      <c r="E60" s="49" t="s">
        <v>272</v>
      </c>
      <c r="F60" s="23" t="s">
        <v>34</v>
      </c>
      <c r="G60" s="43">
        <v>189610.38961038957</v>
      </c>
      <c r="H60" s="43"/>
      <c r="I60" s="44">
        <v>44552</v>
      </c>
      <c r="J60" s="44"/>
      <c r="K60" s="44" t="s">
        <v>205</v>
      </c>
      <c r="L60" s="23"/>
    </row>
    <row r="61" spans="1:12">
      <c r="A61" s="23" t="s">
        <v>9</v>
      </c>
      <c r="B61" s="23" t="s">
        <v>341</v>
      </c>
      <c r="C61" s="23" t="s">
        <v>28</v>
      </c>
      <c r="D61" s="49" t="str">
        <f t="shared" si="0"/>
        <v>T01: PCB40 | T02: VCHT1 | T03: Xám</v>
      </c>
      <c r="E61" s="49" t="s">
        <v>271</v>
      </c>
      <c r="F61" s="23" t="s">
        <v>34</v>
      </c>
      <c r="G61" s="43">
        <v>219576.7195767196</v>
      </c>
      <c r="H61" s="43"/>
      <c r="I61" s="44">
        <v>44617</v>
      </c>
      <c r="J61" s="44"/>
      <c r="K61" s="44" t="s">
        <v>205</v>
      </c>
      <c r="L61" s="23"/>
    </row>
    <row r="62" spans="1:12">
      <c r="A62" s="23" t="s">
        <v>9</v>
      </c>
      <c r="B62" s="23" t="s">
        <v>341</v>
      </c>
      <c r="C62" s="23" t="s">
        <v>28</v>
      </c>
      <c r="D62" s="49" t="str">
        <f t="shared" si="0"/>
        <v>T01: PCB40 | T02: VCHTDD | T03: Xám</v>
      </c>
      <c r="E62" s="49" t="s">
        <v>273</v>
      </c>
      <c r="F62" s="23" t="s">
        <v>34</v>
      </c>
      <c r="G62" s="43">
        <v>201058.20105820103</v>
      </c>
      <c r="H62" s="43"/>
      <c r="I62" s="44">
        <v>44617</v>
      </c>
      <c r="J62" s="44"/>
      <c r="K62" s="44" t="s">
        <v>205</v>
      </c>
      <c r="L62" s="23"/>
    </row>
    <row r="63" spans="1:12">
      <c r="A63" s="23" t="s">
        <v>9</v>
      </c>
      <c r="B63" s="23" t="s">
        <v>342</v>
      </c>
      <c r="C63" s="23" t="s">
        <v>28</v>
      </c>
      <c r="D63" s="49" t="str">
        <f t="shared" si="0"/>
        <v>T01: PCB40 | T02: TLG | T03: Xám</v>
      </c>
      <c r="E63" s="49" t="s">
        <v>280</v>
      </c>
      <c r="F63" s="23" t="s">
        <v>34</v>
      </c>
      <c r="G63" s="43">
        <v>190476.19047619044</v>
      </c>
      <c r="H63" s="43"/>
      <c r="I63" s="44">
        <v>44620</v>
      </c>
      <c r="J63" s="44"/>
      <c r="K63" s="44" t="s">
        <v>205</v>
      </c>
      <c r="L63" s="23"/>
    </row>
    <row r="64" spans="1:12">
      <c r="A64" s="23" t="s">
        <v>9</v>
      </c>
      <c r="B64" s="23" t="s">
        <v>342</v>
      </c>
      <c r="C64" s="23" t="s">
        <v>28</v>
      </c>
      <c r="D64" s="49" t="str">
        <f t="shared" si="0"/>
        <v>T01: PCB40 | T02: TLG | T03: Xám</v>
      </c>
      <c r="E64" s="49" t="s">
        <v>280</v>
      </c>
      <c r="F64" s="23" t="s">
        <v>34</v>
      </c>
      <c r="G64" s="43">
        <v>191798.94179894176</v>
      </c>
      <c r="H64" s="43"/>
      <c r="I64" s="44">
        <v>44623</v>
      </c>
      <c r="J64" s="44"/>
      <c r="K64" s="44" t="s">
        <v>205</v>
      </c>
      <c r="L64" s="23"/>
    </row>
    <row r="65" spans="1:12">
      <c r="A65" s="23" t="s">
        <v>9</v>
      </c>
      <c r="B65" s="23" t="s">
        <v>342</v>
      </c>
      <c r="C65" s="23" t="s">
        <v>28</v>
      </c>
      <c r="D65" s="49" t="str">
        <f t="shared" si="0"/>
        <v>T01: PCB40 | T02: TLG | T03: Xám</v>
      </c>
      <c r="E65" s="49" t="s">
        <v>280</v>
      </c>
      <c r="F65" s="23" t="s">
        <v>34</v>
      </c>
      <c r="G65" s="43">
        <v>189153.43915343913</v>
      </c>
      <c r="H65" s="43"/>
      <c r="I65" s="44">
        <v>44637</v>
      </c>
      <c r="J65" s="44"/>
      <c r="K65" s="44" t="s">
        <v>205</v>
      </c>
      <c r="L65" s="23"/>
    </row>
    <row r="66" spans="1:12">
      <c r="A66" s="23" t="s">
        <v>9</v>
      </c>
      <c r="B66" s="23" t="s">
        <v>342</v>
      </c>
      <c r="C66" s="23" t="s">
        <v>28</v>
      </c>
      <c r="D66" s="49" t="str">
        <f t="shared" si="0"/>
        <v>T01: PCB40 | T02: VCHT1 | T03: Xám</v>
      </c>
      <c r="E66" s="49" t="s">
        <v>271</v>
      </c>
      <c r="F66" s="23" t="s">
        <v>34</v>
      </c>
      <c r="G66" s="43">
        <v>240740.74074074073</v>
      </c>
      <c r="H66" s="43"/>
      <c r="I66" s="44">
        <v>44637</v>
      </c>
      <c r="J66" s="44"/>
      <c r="K66" s="44" t="s">
        <v>205</v>
      </c>
      <c r="L66" s="23"/>
    </row>
    <row r="67" spans="1:12">
      <c r="A67" s="23" t="s">
        <v>9</v>
      </c>
      <c r="B67" s="23" t="s">
        <v>342</v>
      </c>
      <c r="C67" s="23" t="s">
        <v>28</v>
      </c>
      <c r="D67" s="49" t="str">
        <f t="shared" si="0"/>
        <v>T01: PCB40 | T02: IS | T03: Xám</v>
      </c>
      <c r="E67" s="49" t="s">
        <v>260</v>
      </c>
      <c r="F67" s="23" t="s">
        <v>34</v>
      </c>
      <c r="G67" s="43">
        <v>222222.22222222219</v>
      </c>
      <c r="H67" s="43"/>
      <c r="I67" s="44">
        <v>44637</v>
      </c>
      <c r="J67" s="44"/>
      <c r="K67" s="44" t="s">
        <v>205</v>
      </c>
      <c r="L67" s="23"/>
    </row>
    <row r="68" spans="1:12">
      <c r="A68" s="23" t="s">
        <v>9</v>
      </c>
      <c r="B68" s="23" t="s">
        <v>342</v>
      </c>
      <c r="C68" s="23" t="s">
        <v>28</v>
      </c>
      <c r="D68" s="49" t="str">
        <f t="shared" ref="D68:D80" si="1">"T01: PCB40 | T02: "&amp;E68&amp;" | T03: Xám"</f>
        <v>T01: PCB40 | T02: CP | T03: Xám</v>
      </c>
      <c r="E68" s="49" t="s">
        <v>265</v>
      </c>
      <c r="F68" s="23" t="s">
        <v>34</v>
      </c>
      <c r="G68" s="43">
        <v>190476.19047619044</v>
      </c>
      <c r="H68" s="43"/>
      <c r="I68" s="44">
        <v>44637</v>
      </c>
      <c r="J68" s="44"/>
      <c r="K68" s="44" t="s">
        <v>205</v>
      </c>
      <c r="L68" s="23"/>
    </row>
    <row r="69" spans="1:12">
      <c r="A69" s="23" t="s">
        <v>9</v>
      </c>
      <c r="B69" s="23" t="s">
        <v>342</v>
      </c>
      <c r="C69" s="23" t="s">
        <v>28</v>
      </c>
      <c r="D69" s="49" t="str">
        <f t="shared" si="1"/>
        <v>T01: PCB40 | T02: TLG | T03: Xám</v>
      </c>
      <c r="E69" s="49" t="s">
        <v>280</v>
      </c>
      <c r="F69" s="23" t="s">
        <v>34</v>
      </c>
      <c r="G69" s="43">
        <v>190476.19047619044</v>
      </c>
      <c r="H69" s="43">
        <v>190476.19047619044</v>
      </c>
      <c r="I69" s="44">
        <v>44656</v>
      </c>
      <c r="J69" s="44"/>
      <c r="K69" s="44" t="s">
        <v>205</v>
      </c>
      <c r="L69" s="23"/>
    </row>
    <row r="70" spans="1:12">
      <c r="A70" s="23" t="s">
        <v>9</v>
      </c>
      <c r="B70" s="23" t="s">
        <v>342</v>
      </c>
      <c r="C70" s="23" t="s">
        <v>28</v>
      </c>
      <c r="D70" s="49" t="str">
        <f t="shared" si="1"/>
        <v>T01: PCB40 | T02: VCHT1 | T03: Xám</v>
      </c>
      <c r="E70" s="49" t="s">
        <v>271</v>
      </c>
      <c r="F70" s="23" t="s">
        <v>34</v>
      </c>
      <c r="G70" s="43">
        <v>252645.50264550265</v>
      </c>
      <c r="H70" s="43"/>
      <c r="I70" s="44">
        <v>44656</v>
      </c>
      <c r="J70" s="44"/>
      <c r="K70" s="44" t="s">
        <v>205</v>
      </c>
      <c r="L70" s="23"/>
    </row>
    <row r="71" spans="1:12">
      <c r="A71" s="23" t="s">
        <v>9</v>
      </c>
      <c r="B71" s="23" t="s">
        <v>342</v>
      </c>
      <c r="C71" s="23" t="s">
        <v>28</v>
      </c>
      <c r="D71" s="49" t="str">
        <f t="shared" si="1"/>
        <v>T01: PCB40 | T02: IS | T03: Xám</v>
      </c>
      <c r="E71" s="49" t="s">
        <v>260</v>
      </c>
      <c r="F71" s="23" t="s">
        <v>34</v>
      </c>
      <c r="G71" s="43">
        <v>234126.98412698411</v>
      </c>
      <c r="H71" s="43"/>
      <c r="I71" s="44">
        <v>44656</v>
      </c>
      <c r="J71" s="44"/>
      <c r="K71" s="44" t="s">
        <v>205</v>
      </c>
      <c r="L71" s="23"/>
    </row>
    <row r="72" spans="1:12">
      <c r="A72" s="23" t="s">
        <v>9</v>
      </c>
      <c r="B72" s="23" t="s">
        <v>342</v>
      </c>
      <c r="C72" s="23" t="s">
        <v>28</v>
      </c>
      <c r="D72" s="49" t="str">
        <f t="shared" si="1"/>
        <v>T01: PCB40 | T02: CP | T03: Xám</v>
      </c>
      <c r="E72" s="49" t="s">
        <v>265</v>
      </c>
      <c r="F72" s="23" t="s">
        <v>34</v>
      </c>
      <c r="G72" s="43">
        <v>205026.45502645502</v>
      </c>
      <c r="H72" s="43"/>
      <c r="I72" s="44">
        <v>44656</v>
      </c>
      <c r="J72" s="44"/>
      <c r="K72" s="44" t="s">
        <v>205</v>
      </c>
      <c r="L72" s="23"/>
    </row>
    <row r="73" spans="1:12">
      <c r="A73" s="23" t="s">
        <v>9</v>
      </c>
      <c r="B73" s="23" t="s">
        <v>342</v>
      </c>
      <c r="C73" s="23" t="s">
        <v>28</v>
      </c>
      <c r="D73" s="49" t="str">
        <f t="shared" si="1"/>
        <v>T01: PCB40 | T02: TLG | T03: Xám</v>
      </c>
      <c r="E73" s="49" t="s">
        <v>280</v>
      </c>
      <c r="F73" s="23" t="s">
        <v>34</v>
      </c>
      <c r="G73" s="43">
        <v>197619.04761904757</v>
      </c>
      <c r="H73" s="43"/>
      <c r="I73" s="44">
        <v>44686</v>
      </c>
      <c r="J73" s="44"/>
      <c r="K73" s="44" t="s">
        <v>205</v>
      </c>
      <c r="L73" s="23"/>
    </row>
    <row r="74" spans="1:12">
      <c r="A74" s="23" t="s">
        <v>9</v>
      </c>
      <c r="B74" s="23" t="s">
        <v>342</v>
      </c>
      <c r="C74" s="23" t="s">
        <v>28</v>
      </c>
      <c r="D74" s="49" t="str">
        <f t="shared" si="1"/>
        <v>T01: PCB40 | T02: VCHT1 | T03: Xám</v>
      </c>
      <c r="E74" s="49" t="s">
        <v>271</v>
      </c>
      <c r="F74" s="23" t="s">
        <v>34</v>
      </c>
      <c r="G74" s="43">
        <v>259259.25925925924</v>
      </c>
      <c r="H74" s="43"/>
      <c r="I74" s="44">
        <v>44686</v>
      </c>
      <c r="J74" s="44"/>
      <c r="K74" s="44" t="s">
        <v>205</v>
      </c>
      <c r="L74" s="23"/>
    </row>
    <row r="75" spans="1:12">
      <c r="A75" s="23" t="s">
        <v>9</v>
      </c>
      <c r="B75" s="23" t="s">
        <v>342</v>
      </c>
      <c r="C75" s="23" t="s">
        <v>28</v>
      </c>
      <c r="D75" s="49" t="str">
        <f t="shared" si="1"/>
        <v>T01: PCB40 | T02: VCHL | T03: Xám</v>
      </c>
      <c r="E75" s="49" t="s">
        <v>270</v>
      </c>
      <c r="F75" s="23" t="s">
        <v>34</v>
      </c>
      <c r="G75" s="43">
        <v>232804.23280423277</v>
      </c>
      <c r="H75" s="43"/>
      <c r="I75" s="44">
        <v>44686</v>
      </c>
      <c r="J75" s="44"/>
      <c r="K75" s="44" t="s">
        <v>205</v>
      </c>
      <c r="L75" s="23"/>
    </row>
    <row r="76" spans="1:12">
      <c r="A76" s="23" t="s">
        <v>9</v>
      </c>
      <c r="B76" s="23" t="s">
        <v>342</v>
      </c>
      <c r="C76" s="23" t="s">
        <v>28</v>
      </c>
      <c r="D76" s="49" t="str">
        <f t="shared" si="1"/>
        <v>T01: PCB40 | T02: HTKG | T03: Xám</v>
      </c>
      <c r="E76" s="49" t="s">
        <v>274</v>
      </c>
      <c r="F76" s="23" t="s">
        <v>34</v>
      </c>
      <c r="G76" s="43">
        <v>222751.32275132276</v>
      </c>
      <c r="H76" s="43"/>
      <c r="I76" s="44">
        <v>44686</v>
      </c>
      <c r="J76" s="44"/>
      <c r="K76" s="44" t="s">
        <v>205</v>
      </c>
      <c r="L76" s="23"/>
    </row>
    <row r="77" spans="1:12">
      <c r="A77" s="23" t="s">
        <v>9</v>
      </c>
      <c r="B77" s="23" t="s">
        <v>342</v>
      </c>
      <c r="C77" s="23" t="s">
        <v>28</v>
      </c>
      <c r="D77" s="49" t="str">
        <f t="shared" si="1"/>
        <v>T01: PCB40 | T02: IS | T03: Xám</v>
      </c>
      <c r="E77" s="49" t="s">
        <v>260</v>
      </c>
      <c r="F77" s="23" t="s">
        <v>34</v>
      </c>
      <c r="G77" s="43">
        <v>244708.99470899469</v>
      </c>
      <c r="H77" s="43"/>
      <c r="I77" s="44">
        <v>44686</v>
      </c>
      <c r="J77" s="44"/>
      <c r="K77" s="44" t="s">
        <v>205</v>
      </c>
      <c r="L77" s="23"/>
    </row>
    <row r="78" spans="1:12">
      <c r="A78" s="23" t="s">
        <v>9</v>
      </c>
      <c r="B78" s="23" t="s">
        <v>342</v>
      </c>
      <c r="C78" s="23" t="s">
        <v>28</v>
      </c>
      <c r="D78" s="49" t="str">
        <f t="shared" si="1"/>
        <v>T01: PCB40 | T02: CP | T03: Xám</v>
      </c>
      <c r="E78" s="49" t="s">
        <v>265</v>
      </c>
      <c r="F78" s="23" t="s">
        <v>34</v>
      </c>
      <c r="G78" s="43">
        <v>211640.21164021161</v>
      </c>
      <c r="H78" s="43"/>
      <c r="I78" s="44">
        <v>44686</v>
      </c>
      <c r="J78" s="44"/>
      <c r="K78" s="44" t="s">
        <v>205</v>
      </c>
      <c r="L78" s="23"/>
    </row>
    <row r="79" spans="1:12">
      <c r="A79" s="23" t="s">
        <v>214</v>
      </c>
      <c r="B79" s="23" t="s">
        <v>127</v>
      </c>
      <c r="C79" s="23" t="s">
        <v>28</v>
      </c>
      <c r="D79" s="49" t="str">
        <f t="shared" si="1"/>
        <v>T01: PCB40 | T02: FCBD | T03: Xám</v>
      </c>
      <c r="E79" s="49" t="s">
        <v>269</v>
      </c>
      <c r="F79" s="23" t="s">
        <v>34</v>
      </c>
      <c r="G79" s="43">
        <v>181818.18181818182</v>
      </c>
      <c r="H79" s="43">
        <v>181818.18181818182</v>
      </c>
      <c r="I79" s="44">
        <v>44351</v>
      </c>
      <c r="J79" s="44"/>
      <c r="K79" s="44" t="s">
        <v>205</v>
      </c>
      <c r="L79" s="23"/>
    </row>
    <row r="80" spans="1:12">
      <c r="A80" s="23" t="s">
        <v>214</v>
      </c>
      <c r="B80" s="23" t="s">
        <v>127</v>
      </c>
      <c r="C80" s="23" t="s">
        <v>28</v>
      </c>
      <c r="D80" s="49" t="str">
        <f t="shared" si="1"/>
        <v>T01: PCB40 | T02: TLG | T03: Xám</v>
      </c>
      <c r="E80" s="49" t="s">
        <v>280</v>
      </c>
      <c r="F80" s="23" t="s">
        <v>34</v>
      </c>
      <c r="G80" s="43">
        <v>187012.987012987</v>
      </c>
      <c r="H80" s="43">
        <v>187012.987012987</v>
      </c>
      <c r="I80" s="44">
        <v>44351</v>
      </c>
      <c r="J80" s="44"/>
      <c r="K80" s="44" t="s">
        <v>205</v>
      </c>
      <c r="L80" s="23"/>
    </row>
    <row r="81" spans="1:12">
      <c r="A81" s="23" t="s">
        <v>214</v>
      </c>
      <c r="B81" s="23" t="s">
        <v>131</v>
      </c>
      <c r="C81" s="23" t="s">
        <v>28</v>
      </c>
      <c r="D81" s="49" t="str">
        <f t="shared" ref="D81:D84" si="2">"T01: PCB40 | T02: "&amp;E81&amp;" | T03: Xám"</f>
        <v>T01: PCB40 | T02: TLG | T03: Xám</v>
      </c>
      <c r="E81" s="49" t="s">
        <v>280</v>
      </c>
      <c r="F81" s="23" t="s">
        <v>34</v>
      </c>
      <c r="G81" s="43">
        <v>185714.28571428571</v>
      </c>
      <c r="H81" s="43">
        <v>185714.28571428571</v>
      </c>
      <c r="I81" s="44">
        <v>44351</v>
      </c>
      <c r="J81" s="44"/>
      <c r="K81" s="44" t="s">
        <v>205</v>
      </c>
      <c r="L81" s="23"/>
    </row>
    <row r="82" spans="1:12">
      <c r="A82" s="23" t="s">
        <v>214</v>
      </c>
      <c r="B82" s="51" t="s">
        <v>137</v>
      </c>
      <c r="C82" s="23" t="s">
        <v>28</v>
      </c>
      <c r="D82" s="49" t="str">
        <f t="shared" si="2"/>
        <v>T01: PCB40 | T02: FCBD | T03: Xám</v>
      </c>
      <c r="E82" s="49" t="s">
        <v>269</v>
      </c>
      <c r="F82" s="23" t="s">
        <v>34</v>
      </c>
      <c r="G82" s="43">
        <v>181818.18181818182</v>
      </c>
      <c r="H82" s="43">
        <v>181818.18181818182</v>
      </c>
      <c r="I82" s="44">
        <v>44351</v>
      </c>
      <c r="J82" s="44"/>
      <c r="K82" s="44" t="s">
        <v>205</v>
      </c>
      <c r="L82" s="23"/>
    </row>
    <row r="83" spans="1:12">
      <c r="A83" s="23" t="s">
        <v>214</v>
      </c>
      <c r="B83" s="51" t="s">
        <v>137</v>
      </c>
      <c r="C83" s="23" t="s">
        <v>28</v>
      </c>
      <c r="D83" s="49" t="str">
        <f t="shared" si="2"/>
        <v>T01: PCB40 | T02: TLG | T03: Xám</v>
      </c>
      <c r="E83" s="49" t="s">
        <v>280</v>
      </c>
      <c r="F83" s="23" t="s">
        <v>34</v>
      </c>
      <c r="G83" s="43">
        <v>185714.28571428571</v>
      </c>
      <c r="H83" s="43">
        <v>185714.28571428571</v>
      </c>
      <c r="I83" s="44">
        <v>44351</v>
      </c>
      <c r="J83" s="44"/>
      <c r="K83" s="44" t="s">
        <v>205</v>
      </c>
      <c r="L83" s="23"/>
    </row>
    <row r="84" spans="1:12">
      <c r="A84" s="23" t="s">
        <v>8</v>
      </c>
      <c r="B84" s="51" t="s">
        <v>137</v>
      </c>
      <c r="C84" s="23" t="s">
        <v>28</v>
      </c>
      <c r="D84" s="49" t="str">
        <f t="shared" si="2"/>
        <v>T01: PCB40 | T02: FCBD | T03: Xám</v>
      </c>
      <c r="E84" s="49" t="s">
        <v>269</v>
      </c>
      <c r="F84" s="23" t="s">
        <v>34</v>
      </c>
      <c r="G84" s="43">
        <v>185714.28571428568</v>
      </c>
      <c r="H84" s="43">
        <v>185714.28571428568</v>
      </c>
      <c r="I84" s="44">
        <v>44409</v>
      </c>
      <c r="J84" s="44"/>
      <c r="K84" s="44" t="s">
        <v>205</v>
      </c>
      <c r="L84" s="23"/>
    </row>
    <row r="85" spans="1:12">
      <c r="A85" s="23" t="s">
        <v>9</v>
      </c>
      <c r="B85" s="23">
        <v>106568</v>
      </c>
      <c r="C85" s="23" t="s">
        <v>73</v>
      </c>
      <c r="D85" s="49" t="str">
        <f>"T01: M75 | T02: "&amp;E85</f>
        <v>T01: M75 | T02: SKDD</v>
      </c>
      <c r="E85" s="49" t="s">
        <v>249</v>
      </c>
      <c r="F85" s="23" t="s">
        <v>41</v>
      </c>
      <c r="G85" s="43">
        <v>183.76623376623374</v>
      </c>
      <c r="H85" s="43"/>
      <c r="I85" s="44">
        <v>44540</v>
      </c>
      <c r="J85" s="44"/>
      <c r="K85" s="44" t="s">
        <v>205</v>
      </c>
      <c r="L85" s="23"/>
    </row>
    <row r="86" spans="1:12">
      <c r="A86" s="23" t="s">
        <v>9</v>
      </c>
      <c r="B86" s="23">
        <v>106568</v>
      </c>
      <c r="C86" s="23" t="s">
        <v>84</v>
      </c>
      <c r="D86" s="49" t="str">
        <f t="shared" ref="D86:D149" si="3">"T01: M75 | T02: "&amp;E86</f>
        <v>T01: M75 | T02: SKDD</v>
      </c>
      <c r="E86" s="49" t="s">
        <v>249</v>
      </c>
      <c r="F86" s="23" t="s">
        <v>41</v>
      </c>
      <c r="G86" s="43">
        <v>151.55844155844153</v>
      </c>
      <c r="H86" s="43"/>
      <c r="I86" s="44">
        <v>44540</v>
      </c>
      <c r="J86" s="44"/>
      <c r="K86" s="44" t="s">
        <v>205</v>
      </c>
      <c r="L86" s="23"/>
    </row>
    <row r="87" spans="1:12">
      <c r="A87" s="23" t="s">
        <v>9</v>
      </c>
      <c r="B87" s="23">
        <v>106568</v>
      </c>
      <c r="C87" s="23" t="s">
        <v>73</v>
      </c>
      <c r="D87" s="49" t="str">
        <f t="shared" si="3"/>
        <v>T01: M75 | T02: SKDD</v>
      </c>
      <c r="E87" s="49" t="s">
        <v>249</v>
      </c>
      <c r="F87" s="23" t="s">
        <v>41</v>
      </c>
      <c r="G87" s="43">
        <v>182.46753246753246</v>
      </c>
      <c r="H87" s="43"/>
      <c r="I87" s="44">
        <v>44555</v>
      </c>
      <c r="J87" s="44"/>
      <c r="K87" s="44" t="s">
        <v>205</v>
      </c>
      <c r="L87" s="23"/>
    </row>
    <row r="88" spans="1:12">
      <c r="A88" s="23" t="s">
        <v>9</v>
      </c>
      <c r="B88" s="23">
        <v>106568</v>
      </c>
      <c r="C88" s="23" t="s">
        <v>84</v>
      </c>
      <c r="D88" s="49" t="str">
        <f t="shared" si="3"/>
        <v>T01: M75 | T02: SKDD</v>
      </c>
      <c r="E88" s="49" t="s">
        <v>249</v>
      </c>
      <c r="F88" s="23" t="s">
        <v>41</v>
      </c>
      <c r="G88" s="43">
        <v>150.12987012987011</v>
      </c>
      <c r="H88" s="43"/>
      <c r="I88" s="44">
        <v>44555</v>
      </c>
      <c r="J88" s="44"/>
      <c r="K88" s="44" t="s">
        <v>205</v>
      </c>
      <c r="L88" s="23"/>
    </row>
    <row r="89" spans="1:12">
      <c r="A89" s="23" t="s">
        <v>9</v>
      </c>
      <c r="B89" s="23">
        <v>106568</v>
      </c>
      <c r="C89" s="23" t="s">
        <v>73</v>
      </c>
      <c r="D89" s="49" t="str">
        <f t="shared" si="3"/>
        <v>T01: M75 | T02: SKDD</v>
      </c>
      <c r="E89" s="49" t="s">
        <v>249</v>
      </c>
      <c r="F89" s="23" t="s">
        <v>41</v>
      </c>
      <c r="G89" s="43">
        <v>181.87830687830686</v>
      </c>
      <c r="H89" s="43">
        <v>181.87830687830686</v>
      </c>
      <c r="I89" s="44">
        <v>44621</v>
      </c>
      <c r="J89" s="44"/>
      <c r="K89" s="44" t="s">
        <v>205</v>
      </c>
      <c r="L89" s="23"/>
    </row>
    <row r="90" spans="1:12">
      <c r="A90" s="23" t="s">
        <v>9</v>
      </c>
      <c r="B90" s="23">
        <v>106568</v>
      </c>
      <c r="C90" s="23" t="s">
        <v>84</v>
      </c>
      <c r="D90" s="49" t="str">
        <f t="shared" si="3"/>
        <v>T01: M75 | T02: SKDD</v>
      </c>
      <c r="E90" s="49" t="s">
        <v>249</v>
      </c>
      <c r="F90" s="23" t="s">
        <v>41</v>
      </c>
      <c r="G90" s="43">
        <v>149.20634920634919</v>
      </c>
      <c r="H90" s="43">
        <v>149.20634920634919</v>
      </c>
      <c r="I90" s="44">
        <v>44621</v>
      </c>
      <c r="J90" s="44"/>
      <c r="K90" s="44" t="s">
        <v>205</v>
      </c>
      <c r="L90" s="23"/>
    </row>
    <row r="91" spans="1:12">
      <c r="A91" s="23" t="s">
        <v>9</v>
      </c>
      <c r="B91" s="23" t="s">
        <v>343</v>
      </c>
      <c r="C91" s="23" t="s">
        <v>73</v>
      </c>
      <c r="D91" s="49" t="str">
        <f t="shared" si="3"/>
        <v>T01: M75 | T02: BMC</v>
      </c>
      <c r="E91" s="49" t="s">
        <v>91</v>
      </c>
      <c r="F91" s="23" t="s">
        <v>41</v>
      </c>
      <c r="G91" s="43">
        <v>181.81818181818178</v>
      </c>
      <c r="H91" s="43"/>
      <c r="I91" s="44">
        <v>44540</v>
      </c>
      <c r="J91" s="44"/>
      <c r="K91" s="44" t="s">
        <v>204</v>
      </c>
      <c r="L91" s="23"/>
    </row>
    <row r="92" spans="1:12">
      <c r="A92" s="23" t="s">
        <v>9</v>
      </c>
      <c r="B92" s="23" t="s">
        <v>343</v>
      </c>
      <c r="C92" s="23" t="s">
        <v>69</v>
      </c>
      <c r="D92" s="49" t="str">
        <f t="shared" si="3"/>
        <v>T01: M75 | T02: BMC</v>
      </c>
      <c r="E92" s="49" t="s">
        <v>91</v>
      </c>
      <c r="F92" s="23" t="s">
        <v>41</v>
      </c>
      <c r="G92" s="43">
        <v>155.84415584415584</v>
      </c>
      <c r="H92" s="43"/>
      <c r="I92" s="44">
        <v>44540</v>
      </c>
      <c r="J92" s="44"/>
      <c r="K92" s="44" t="s">
        <v>204</v>
      </c>
      <c r="L92" s="23"/>
    </row>
    <row r="93" spans="1:12">
      <c r="A93" s="23" t="s">
        <v>9</v>
      </c>
      <c r="B93" s="23" t="s">
        <v>343</v>
      </c>
      <c r="C93" s="23" t="s">
        <v>84</v>
      </c>
      <c r="D93" s="49" t="str">
        <f t="shared" si="3"/>
        <v>T01: M75 | T02: BMC</v>
      </c>
      <c r="E93" s="49" t="s">
        <v>91</v>
      </c>
      <c r="F93" s="23" t="s">
        <v>41</v>
      </c>
      <c r="G93" s="43">
        <v>142.85714285714283</v>
      </c>
      <c r="H93" s="43"/>
      <c r="I93" s="44">
        <v>44540</v>
      </c>
      <c r="J93" s="44"/>
      <c r="K93" s="44" t="s">
        <v>204</v>
      </c>
      <c r="L93" s="23"/>
    </row>
    <row r="94" spans="1:12">
      <c r="A94" s="23" t="s">
        <v>9</v>
      </c>
      <c r="B94" s="23">
        <v>103898</v>
      </c>
      <c r="C94" s="23" t="s">
        <v>73</v>
      </c>
      <c r="D94" s="49" t="str">
        <f t="shared" si="3"/>
        <v>T01: M75 | T02: CIC</v>
      </c>
      <c r="E94" s="49" t="s">
        <v>251</v>
      </c>
      <c r="F94" s="23" t="s">
        <v>41</v>
      </c>
      <c r="G94" s="43">
        <v>162.33766233766232</v>
      </c>
      <c r="H94" s="43"/>
      <c r="I94" s="44">
        <v>44918</v>
      </c>
      <c r="J94" s="44"/>
      <c r="K94" s="44" t="s">
        <v>204</v>
      </c>
      <c r="L94" s="23"/>
    </row>
    <row r="95" spans="1:12">
      <c r="A95" s="23" t="s">
        <v>9</v>
      </c>
      <c r="B95" s="23">
        <v>103898</v>
      </c>
      <c r="C95" s="23" t="s">
        <v>69</v>
      </c>
      <c r="D95" s="49" t="str">
        <f t="shared" si="3"/>
        <v>T01: M75 | T02: CIC</v>
      </c>
      <c r="E95" s="49" t="s">
        <v>251</v>
      </c>
      <c r="F95" s="23" t="s">
        <v>41</v>
      </c>
      <c r="G95" s="43">
        <v>142.85714285714283</v>
      </c>
      <c r="H95" s="43"/>
      <c r="I95" s="44">
        <v>44918</v>
      </c>
      <c r="J95" s="44"/>
      <c r="K95" s="44" t="s">
        <v>204</v>
      </c>
      <c r="L95" s="23"/>
    </row>
    <row r="96" spans="1:12">
      <c r="A96" s="23" t="s">
        <v>9</v>
      </c>
      <c r="B96" s="23">
        <v>103898</v>
      </c>
      <c r="C96" s="23" t="s">
        <v>84</v>
      </c>
      <c r="D96" s="49" t="str">
        <f t="shared" si="3"/>
        <v>T01: M75 | T02: CIC</v>
      </c>
      <c r="E96" s="49" t="s">
        <v>251</v>
      </c>
      <c r="F96" s="23" t="s">
        <v>41</v>
      </c>
      <c r="G96" s="43">
        <v>136.36363636363635</v>
      </c>
      <c r="H96" s="43"/>
      <c r="I96" s="44">
        <v>44918</v>
      </c>
      <c r="J96" s="44"/>
      <c r="K96" s="44" t="s">
        <v>204</v>
      </c>
      <c r="L96" s="23"/>
    </row>
    <row r="97" spans="1:12">
      <c r="A97" s="23" t="s">
        <v>9</v>
      </c>
      <c r="B97" s="23">
        <v>103898</v>
      </c>
      <c r="C97" s="23" t="s">
        <v>73</v>
      </c>
      <c r="D97" s="49" t="str">
        <f t="shared" si="3"/>
        <v>T01: M75 | T02: CIC</v>
      </c>
      <c r="E97" s="49" t="s">
        <v>251</v>
      </c>
      <c r="F97" s="23" t="s">
        <v>41</v>
      </c>
      <c r="G97" s="43">
        <v>162.33766233766232</v>
      </c>
      <c r="H97" s="43"/>
      <c r="I97" s="44">
        <v>44555</v>
      </c>
      <c r="J97" s="44"/>
      <c r="K97" s="44" t="s">
        <v>205</v>
      </c>
      <c r="L97" s="23"/>
    </row>
    <row r="98" spans="1:12">
      <c r="A98" s="23" t="s">
        <v>9</v>
      </c>
      <c r="B98" s="23">
        <v>103898</v>
      </c>
      <c r="C98" s="23" t="s">
        <v>69</v>
      </c>
      <c r="D98" s="49" t="str">
        <f t="shared" si="3"/>
        <v>T01: M75 | T02: CIC</v>
      </c>
      <c r="E98" s="49" t="s">
        <v>251</v>
      </c>
      <c r="F98" s="23" t="s">
        <v>41</v>
      </c>
      <c r="G98" s="43">
        <v>142.85714285714283</v>
      </c>
      <c r="H98" s="43"/>
      <c r="I98" s="44">
        <v>44555</v>
      </c>
      <c r="J98" s="44"/>
      <c r="K98" s="44" t="s">
        <v>205</v>
      </c>
      <c r="L98" s="23"/>
    </row>
    <row r="99" spans="1:12">
      <c r="A99" s="23" t="s">
        <v>9</v>
      </c>
      <c r="B99" s="23">
        <v>103898</v>
      </c>
      <c r="C99" s="23" t="s">
        <v>84</v>
      </c>
      <c r="D99" s="49" t="str">
        <f t="shared" si="3"/>
        <v>T01: M75 | T02: CIC</v>
      </c>
      <c r="E99" s="49" t="s">
        <v>251</v>
      </c>
      <c r="F99" s="23" t="s">
        <v>41</v>
      </c>
      <c r="G99" s="43">
        <v>136.36363636363635</v>
      </c>
      <c r="H99" s="43"/>
      <c r="I99" s="44">
        <v>44555</v>
      </c>
      <c r="J99" s="44"/>
      <c r="K99" s="44" t="s">
        <v>205</v>
      </c>
      <c r="L99" s="23"/>
    </row>
    <row r="100" spans="1:12">
      <c r="A100" s="23" t="s">
        <v>9</v>
      </c>
      <c r="B100" s="23">
        <v>103898</v>
      </c>
      <c r="C100" s="23" t="s">
        <v>73</v>
      </c>
      <c r="D100" s="49" t="str">
        <f t="shared" si="3"/>
        <v>T01: M75 | T02: CIC</v>
      </c>
      <c r="E100" s="49" t="s">
        <v>251</v>
      </c>
      <c r="F100" s="23" t="s">
        <v>41</v>
      </c>
      <c r="G100" s="43">
        <v>162.30158730158729</v>
      </c>
      <c r="H100" s="43">
        <v>162.30158730158729</v>
      </c>
      <c r="I100" s="44">
        <v>44610</v>
      </c>
      <c r="J100" s="44"/>
      <c r="K100" s="44" t="s">
        <v>205</v>
      </c>
      <c r="L100" s="23"/>
    </row>
    <row r="101" spans="1:12">
      <c r="A101" s="23" t="s">
        <v>9</v>
      </c>
      <c r="B101" s="23">
        <v>103898</v>
      </c>
      <c r="C101" s="23" t="s">
        <v>69</v>
      </c>
      <c r="D101" s="49" t="str">
        <f t="shared" si="3"/>
        <v>T01: M75 | T02: CIC</v>
      </c>
      <c r="E101" s="49" t="s">
        <v>251</v>
      </c>
      <c r="F101" s="23" t="s">
        <v>41</v>
      </c>
      <c r="G101" s="43">
        <v>142.85714285714283</v>
      </c>
      <c r="H101" s="43">
        <v>142.85714285714283</v>
      </c>
      <c r="I101" s="44">
        <v>44610</v>
      </c>
      <c r="J101" s="44"/>
      <c r="K101" s="44" t="s">
        <v>205</v>
      </c>
      <c r="L101" s="23"/>
    </row>
    <row r="102" spans="1:12">
      <c r="A102" s="23" t="s">
        <v>9</v>
      </c>
      <c r="B102" s="23">
        <v>103898</v>
      </c>
      <c r="C102" s="23" t="s">
        <v>84</v>
      </c>
      <c r="D102" s="49" t="str">
        <f t="shared" si="3"/>
        <v>T01: M75 | T02: CIC</v>
      </c>
      <c r="E102" s="49" t="s">
        <v>251</v>
      </c>
      <c r="F102" s="23" t="s">
        <v>41</v>
      </c>
      <c r="G102" s="43">
        <v>136.37566137566137</v>
      </c>
      <c r="H102" s="43">
        <v>136.37566137566137</v>
      </c>
      <c r="I102" s="44">
        <v>44610</v>
      </c>
      <c r="J102" s="44"/>
      <c r="K102" s="44" t="s">
        <v>205</v>
      </c>
      <c r="L102" s="23"/>
    </row>
    <row r="103" spans="1:12">
      <c r="A103" s="23" t="s">
        <v>9</v>
      </c>
      <c r="B103" s="23" t="s">
        <v>344</v>
      </c>
      <c r="C103" s="23" t="s">
        <v>73</v>
      </c>
      <c r="D103" s="49" t="str">
        <f t="shared" si="3"/>
        <v>T01: M75 | T02: VN</v>
      </c>
      <c r="E103" s="49" t="s">
        <v>253</v>
      </c>
      <c r="F103" s="23" t="s">
        <v>41</v>
      </c>
      <c r="G103" s="43">
        <v>177.14285714285714</v>
      </c>
      <c r="H103" s="43"/>
      <c r="I103" s="44">
        <v>44638</v>
      </c>
      <c r="J103" s="44"/>
      <c r="K103" s="44" t="s">
        <v>204</v>
      </c>
      <c r="L103" s="23"/>
    </row>
    <row r="104" spans="1:12">
      <c r="A104" s="23" t="s">
        <v>9</v>
      </c>
      <c r="B104" s="23" t="s">
        <v>344</v>
      </c>
      <c r="C104" s="23" t="s">
        <v>69</v>
      </c>
      <c r="D104" s="49" t="str">
        <f t="shared" si="3"/>
        <v>T01: M75 | T02: VN</v>
      </c>
      <c r="E104" s="49" t="s">
        <v>253</v>
      </c>
      <c r="F104" s="23" t="s">
        <v>41</v>
      </c>
      <c r="G104" s="43">
        <v>141.42857142857142</v>
      </c>
      <c r="H104" s="43"/>
      <c r="I104" s="44">
        <v>44638</v>
      </c>
      <c r="J104" s="44"/>
      <c r="K104" s="44" t="s">
        <v>204</v>
      </c>
      <c r="L104" s="23"/>
    </row>
    <row r="105" spans="1:12">
      <c r="A105" s="23" t="s">
        <v>9</v>
      </c>
      <c r="B105" s="23" t="s">
        <v>344</v>
      </c>
      <c r="C105" s="23" t="s">
        <v>84</v>
      </c>
      <c r="D105" s="49" t="str">
        <f t="shared" si="3"/>
        <v>T01: M75 | T02: VN</v>
      </c>
      <c r="E105" s="49" t="s">
        <v>253</v>
      </c>
      <c r="F105" s="23" t="s">
        <v>41</v>
      </c>
      <c r="G105" s="43">
        <v>130</v>
      </c>
      <c r="H105" s="43"/>
      <c r="I105" s="44">
        <v>44638</v>
      </c>
      <c r="J105" s="44"/>
      <c r="K105" s="44" t="s">
        <v>204</v>
      </c>
      <c r="L105" s="23"/>
    </row>
    <row r="106" spans="1:12">
      <c r="A106" s="23" t="s">
        <v>9</v>
      </c>
      <c r="B106" s="23" t="s">
        <v>345</v>
      </c>
      <c r="C106" s="23" t="s">
        <v>73</v>
      </c>
      <c r="D106" s="49" t="str">
        <f t="shared" si="3"/>
        <v>T01: M75 | T02: HS</v>
      </c>
      <c r="E106" s="49" t="s">
        <v>275</v>
      </c>
      <c r="F106" s="23" t="s">
        <v>41</v>
      </c>
      <c r="G106" s="43">
        <v>203.85714285714286</v>
      </c>
      <c r="H106" s="43"/>
      <c r="I106" s="44">
        <v>44649</v>
      </c>
      <c r="J106" s="44"/>
      <c r="K106" s="44" t="s">
        <v>204</v>
      </c>
      <c r="L106" s="23"/>
    </row>
    <row r="107" spans="1:12">
      <c r="A107" s="23" t="s">
        <v>9</v>
      </c>
      <c r="B107" s="23" t="s">
        <v>113</v>
      </c>
      <c r="C107" s="23" t="s">
        <v>61</v>
      </c>
      <c r="D107" s="49" t="str">
        <f t="shared" si="3"/>
        <v>T01: M75 | T02: BMC</v>
      </c>
      <c r="E107" s="49" t="s">
        <v>91</v>
      </c>
      <c r="F107" s="23" t="s">
        <v>41</v>
      </c>
      <c r="G107" s="43">
        <v>124.67532467532466</v>
      </c>
      <c r="H107" s="43"/>
      <c r="I107" s="44">
        <v>44539</v>
      </c>
      <c r="J107" s="44"/>
      <c r="K107" s="44" t="s">
        <v>204</v>
      </c>
      <c r="L107" s="23"/>
    </row>
    <row r="108" spans="1:12">
      <c r="A108" s="23" t="s">
        <v>9</v>
      </c>
      <c r="B108" s="23" t="s">
        <v>113</v>
      </c>
      <c r="C108" s="23" t="s">
        <v>48</v>
      </c>
      <c r="D108" s="49" t="str">
        <f t="shared" si="3"/>
        <v>T01: M75 | T02: BMC</v>
      </c>
      <c r="E108" s="49" t="s">
        <v>91</v>
      </c>
      <c r="F108" s="23" t="s">
        <v>41</v>
      </c>
      <c r="G108" s="43">
        <v>124.67532467532466</v>
      </c>
      <c r="H108" s="43"/>
      <c r="I108" s="44">
        <v>44539</v>
      </c>
      <c r="J108" s="44"/>
      <c r="K108" s="44" t="s">
        <v>204</v>
      </c>
      <c r="L108" s="23"/>
    </row>
    <row r="109" spans="1:12">
      <c r="A109" s="23" t="s">
        <v>9</v>
      </c>
      <c r="B109" s="23" t="s">
        <v>113</v>
      </c>
      <c r="C109" s="23" t="s">
        <v>55</v>
      </c>
      <c r="D109" s="49" t="str">
        <f t="shared" si="3"/>
        <v>T01: M75 | T02: BMC</v>
      </c>
      <c r="E109" s="49" t="s">
        <v>91</v>
      </c>
      <c r="F109" s="23" t="s">
        <v>41</v>
      </c>
      <c r="G109" s="43">
        <v>62.33766233766233</v>
      </c>
      <c r="H109" s="43"/>
      <c r="I109" s="44">
        <v>44539</v>
      </c>
      <c r="J109" s="44"/>
      <c r="K109" s="44" t="s">
        <v>204</v>
      </c>
      <c r="L109" s="23"/>
    </row>
    <row r="110" spans="1:12">
      <c r="A110" s="23" t="s">
        <v>9</v>
      </c>
      <c r="B110" s="23" t="s">
        <v>113</v>
      </c>
      <c r="C110" s="23" t="s">
        <v>39</v>
      </c>
      <c r="D110" s="49" t="str">
        <f t="shared" si="3"/>
        <v>T01: M75 | T02: BMC</v>
      </c>
      <c r="E110" s="49" t="s">
        <v>91</v>
      </c>
      <c r="F110" s="23" t="s">
        <v>41</v>
      </c>
      <c r="G110" s="43">
        <v>175.32467532467533</v>
      </c>
      <c r="H110" s="43"/>
      <c r="I110" s="44">
        <v>44539</v>
      </c>
      <c r="J110" s="44"/>
      <c r="K110" s="44" t="s">
        <v>204</v>
      </c>
      <c r="L110" s="23"/>
    </row>
    <row r="111" spans="1:12">
      <c r="A111" s="23" t="s">
        <v>9</v>
      </c>
      <c r="B111" s="23" t="s">
        <v>113</v>
      </c>
      <c r="C111" s="23" t="s">
        <v>61</v>
      </c>
      <c r="D111" s="49" t="str">
        <f t="shared" si="3"/>
        <v>T01: M75 | T02: XH</v>
      </c>
      <c r="E111" s="49" t="s">
        <v>244</v>
      </c>
      <c r="F111" s="23" t="s">
        <v>41</v>
      </c>
      <c r="G111" s="43">
        <v>124.67532467532466</v>
      </c>
      <c r="H111" s="43"/>
      <c r="I111" s="44">
        <v>44539</v>
      </c>
      <c r="J111" s="44"/>
      <c r="K111" s="44" t="s">
        <v>204</v>
      </c>
      <c r="L111" s="23"/>
    </row>
    <row r="112" spans="1:12">
      <c r="A112" s="23" t="s">
        <v>9</v>
      </c>
      <c r="B112" s="23" t="s">
        <v>113</v>
      </c>
      <c r="C112" s="23" t="s">
        <v>48</v>
      </c>
      <c r="D112" s="49" t="str">
        <f t="shared" si="3"/>
        <v>T01: M75 | T02: XH</v>
      </c>
      <c r="E112" s="49" t="s">
        <v>244</v>
      </c>
      <c r="F112" s="23" t="s">
        <v>41</v>
      </c>
      <c r="G112" s="43">
        <v>124.67532467532466</v>
      </c>
      <c r="H112" s="43"/>
      <c r="I112" s="44">
        <v>44539</v>
      </c>
      <c r="J112" s="44"/>
      <c r="K112" s="44" t="s">
        <v>204</v>
      </c>
      <c r="L112" s="23"/>
    </row>
    <row r="113" spans="1:12">
      <c r="A113" s="23" t="s">
        <v>9</v>
      </c>
      <c r="B113" s="23" t="s">
        <v>113</v>
      </c>
      <c r="C113" s="23" t="s">
        <v>55</v>
      </c>
      <c r="D113" s="49" t="str">
        <f t="shared" si="3"/>
        <v>T01: M75 | T02: XH</v>
      </c>
      <c r="E113" s="49" t="s">
        <v>244</v>
      </c>
      <c r="F113" s="23" t="s">
        <v>41</v>
      </c>
      <c r="G113" s="43">
        <v>62.33766233766233</v>
      </c>
      <c r="H113" s="43"/>
      <c r="I113" s="44">
        <v>44539</v>
      </c>
      <c r="J113" s="44"/>
      <c r="K113" s="44" t="s">
        <v>204</v>
      </c>
      <c r="L113" s="23"/>
    </row>
    <row r="114" spans="1:12">
      <c r="A114" s="23" t="s">
        <v>9</v>
      </c>
      <c r="B114" s="23" t="s">
        <v>113</v>
      </c>
      <c r="C114" s="23" t="s">
        <v>61</v>
      </c>
      <c r="D114" s="49" t="str">
        <f t="shared" si="3"/>
        <v>T01: M75 | T02: BMC</v>
      </c>
      <c r="E114" s="49" t="s">
        <v>91</v>
      </c>
      <c r="F114" s="23" t="s">
        <v>41</v>
      </c>
      <c r="G114" s="43">
        <v>127.27272727272727</v>
      </c>
      <c r="H114" s="43"/>
      <c r="I114" s="44">
        <v>44548</v>
      </c>
      <c r="J114" s="44"/>
      <c r="K114" s="44" t="s">
        <v>204</v>
      </c>
      <c r="L114" s="23"/>
    </row>
    <row r="115" spans="1:12">
      <c r="A115" s="23" t="s">
        <v>9</v>
      </c>
      <c r="B115" s="23" t="s">
        <v>113</v>
      </c>
      <c r="C115" s="23" t="s">
        <v>48</v>
      </c>
      <c r="D115" s="49" t="str">
        <f t="shared" si="3"/>
        <v>T01: M75 | T02: BMC</v>
      </c>
      <c r="E115" s="49" t="s">
        <v>91</v>
      </c>
      <c r="F115" s="23" t="s">
        <v>41</v>
      </c>
      <c r="G115" s="43">
        <v>127.27272727272727</v>
      </c>
      <c r="H115" s="43"/>
      <c r="I115" s="44">
        <v>44548</v>
      </c>
      <c r="J115" s="44"/>
      <c r="K115" s="44" t="s">
        <v>204</v>
      </c>
      <c r="L115" s="23"/>
    </row>
    <row r="116" spans="1:12">
      <c r="A116" s="23" t="s">
        <v>9</v>
      </c>
      <c r="B116" s="23" t="s">
        <v>113</v>
      </c>
      <c r="C116" s="23" t="s">
        <v>55</v>
      </c>
      <c r="D116" s="49" t="str">
        <f t="shared" si="3"/>
        <v>T01: M75 | T02: BMC</v>
      </c>
      <c r="E116" s="49" t="s">
        <v>91</v>
      </c>
      <c r="F116" s="23" t="s">
        <v>41</v>
      </c>
      <c r="G116" s="43">
        <v>63.636363636363633</v>
      </c>
      <c r="H116" s="43"/>
      <c r="I116" s="44">
        <v>44548</v>
      </c>
      <c r="J116" s="44"/>
      <c r="K116" s="44" t="s">
        <v>204</v>
      </c>
      <c r="L116" s="23"/>
    </row>
    <row r="117" spans="1:12">
      <c r="A117" s="23" t="s">
        <v>9</v>
      </c>
      <c r="B117" s="23" t="s">
        <v>113</v>
      </c>
      <c r="C117" s="23" t="s">
        <v>39</v>
      </c>
      <c r="D117" s="49" t="str">
        <f t="shared" si="3"/>
        <v>T01: M75 | T02: BMC</v>
      </c>
      <c r="E117" s="49" t="s">
        <v>91</v>
      </c>
      <c r="F117" s="23" t="s">
        <v>41</v>
      </c>
      <c r="G117" s="43">
        <v>177.9220779220779</v>
      </c>
      <c r="H117" s="43"/>
      <c r="I117" s="44">
        <v>44548</v>
      </c>
      <c r="J117" s="44"/>
      <c r="K117" s="44" t="s">
        <v>204</v>
      </c>
      <c r="L117" s="23"/>
    </row>
    <row r="118" spans="1:12">
      <c r="A118" s="23" t="s">
        <v>9</v>
      </c>
      <c r="B118" s="23" t="s">
        <v>113</v>
      </c>
      <c r="C118" s="23" t="s">
        <v>61</v>
      </c>
      <c r="D118" s="49" t="str">
        <f t="shared" si="3"/>
        <v>T01: M75 | T02: BMC</v>
      </c>
      <c r="E118" s="49" t="s">
        <v>91</v>
      </c>
      <c r="F118" s="23" t="s">
        <v>41</v>
      </c>
      <c r="G118" s="43">
        <v>125.97402597402596</v>
      </c>
      <c r="H118" s="43"/>
      <c r="I118" s="44">
        <v>44560</v>
      </c>
      <c r="J118" s="44"/>
      <c r="K118" s="44" t="s">
        <v>205</v>
      </c>
      <c r="L118" s="23"/>
    </row>
    <row r="119" spans="1:12">
      <c r="A119" s="23" t="s">
        <v>9</v>
      </c>
      <c r="B119" s="23" t="s">
        <v>113</v>
      </c>
      <c r="C119" s="23" t="s">
        <v>48</v>
      </c>
      <c r="D119" s="49" t="str">
        <f t="shared" si="3"/>
        <v>T01: M75 | T02: BMC</v>
      </c>
      <c r="E119" s="49" t="s">
        <v>91</v>
      </c>
      <c r="F119" s="23" t="s">
        <v>41</v>
      </c>
      <c r="G119" s="43">
        <v>125.97402597402596</v>
      </c>
      <c r="H119" s="43"/>
      <c r="I119" s="44">
        <v>44560</v>
      </c>
      <c r="J119" s="44"/>
      <c r="K119" s="44" t="s">
        <v>205</v>
      </c>
      <c r="L119" s="23"/>
    </row>
    <row r="120" spans="1:12">
      <c r="A120" s="23" t="s">
        <v>9</v>
      </c>
      <c r="B120" s="23" t="s">
        <v>113</v>
      </c>
      <c r="C120" s="23" t="s">
        <v>55</v>
      </c>
      <c r="D120" s="49" t="str">
        <f t="shared" si="3"/>
        <v>T01: M75 | T02: BMC</v>
      </c>
      <c r="E120" s="49" t="s">
        <v>91</v>
      </c>
      <c r="F120" s="23" t="s">
        <v>41</v>
      </c>
      <c r="G120" s="43">
        <v>62.987012987012982</v>
      </c>
      <c r="H120" s="43"/>
      <c r="I120" s="44">
        <v>44560</v>
      </c>
      <c r="J120" s="44"/>
      <c r="K120" s="44" t="s">
        <v>205</v>
      </c>
      <c r="L120" s="23"/>
    </row>
    <row r="121" spans="1:12">
      <c r="A121" s="23" t="s">
        <v>9</v>
      </c>
      <c r="B121" s="23" t="s">
        <v>113</v>
      </c>
      <c r="C121" s="23" t="s">
        <v>39</v>
      </c>
      <c r="D121" s="49" t="str">
        <f t="shared" si="3"/>
        <v>T01: M75 | T02: BMC</v>
      </c>
      <c r="E121" s="49" t="s">
        <v>91</v>
      </c>
      <c r="F121" s="23" t="s">
        <v>41</v>
      </c>
      <c r="G121" s="43">
        <v>176.6233766233766</v>
      </c>
      <c r="H121" s="43"/>
      <c r="I121" s="44">
        <v>44560</v>
      </c>
      <c r="J121" s="44"/>
      <c r="K121" s="44" t="s">
        <v>205</v>
      </c>
      <c r="L121" s="23"/>
    </row>
    <row r="122" spans="1:12">
      <c r="A122" s="23" t="s">
        <v>9</v>
      </c>
      <c r="B122" s="23" t="s">
        <v>113</v>
      </c>
      <c r="C122" s="23" t="s">
        <v>61</v>
      </c>
      <c r="D122" s="49" t="str">
        <f t="shared" si="3"/>
        <v>T01: M75 | T02: XH</v>
      </c>
      <c r="E122" s="49" t="s">
        <v>244</v>
      </c>
      <c r="F122" s="23" t="s">
        <v>41</v>
      </c>
      <c r="G122" s="43">
        <v>123.37662337662336</v>
      </c>
      <c r="H122" s="43"/>
      <c r="I122" s="44">
        <v>44560</v>
      </c>
      <c r="J122" s="44"/>
      <c r="K122" s="44" t="s">
        <v>205</v>
      </c>
      <c r="L122" s="23"/>
    </row>
    <row r="123" spans="1:12">
      <c r="A123" s="23" t="s">
        <v>9</v>
      </c>
      <c r="B123" s="23" t="s">
        <v>113</v>
      </c>
      <c r="C123" s="23" t="s">
        <v>48</v>
      </c>
      <c r="D123" s="49" t="str">
        <f t="shared" si="3"/>
        <v>T01: M75 | T02: XH</v>
      </c>
      <c r="E123" s="49" t="s">
        <v>244</v>
      </c>
      <c r="F123" s="23" t="s">
        <v>41</v>
      </c>
      <c r="G123" s="43">
        <v>123.37662337662336</v>
      </c>
      <c r="H123" s="43"/>
      <c r="I123" s="44">
        <v>44560</v>
      </c>
      <c r="J123" s="44"/>
      <c r="K123" s="44" t="s">
        <v>205</v>
      </c>
      <c r="L123" s="23"/>
    </row>
    <row r="124" spans="1:12">
      <c r="A124" s="23" t="s">
        <v>9</v>
      </c>
      <c r="B124" s="23" t="s">
        <v>113</v>
      </c>
      <c r="C124" s="23" t="s">
        <v>55</v>
      </c>
      <c r="D124" s="49" t="str">
        <f t="shared" si="3"/>
        <v>T01: M75 | T02: XH</v>
      </c>
      <c r="E124" s="49" t="s">
        <v>244</v>
      </c>
      <c r="F124" s="23" t="s">
        <v>41</v>
      </c>
      <c r="G124" s="43">
        <v>61.688311688311678</v>
      </c>
      <c r="H124" s="43"/>
      <c r="I124" s="44">
        <v>44560</v>
      </c>
      <c r="J124" s="44"/>
      <c r="K124" s="44" t="s">
        <v>205</v>
      </c>
      <c r="L124" s="23"/>
    </row>
    <row r="125" spans="1:12">
      <c r="A125" s="23" t="s">
        <v>9</v>
      </c>
      <c r="B125" s="23" t="s">
        <v>113</v>
      </c>
      <c r="C125" s="23" t="s">
        <v>61</v>
      </c>
      <c r="D125" s="49" t="str">
        <f t="shared" si="3"/>
        <v>T01: M75 | T02: BMC</v>
      </c>
      <c r="E125" s="49" t="s">
        <v>91</v>
      </c>
      <c r="F125" s="23" t="s">
        <v>41</v>
      </c>
      <c r="G125" s="43">
        <v>124.67532467532466</v>
      </c>
      <c r="H125" s="43"/>
      <c r="I125" s="44">
        <v>44576</v>
      </c>
      <c r="J125" s="44"/>
      <c r="K125" s="44" t="s">
        <v>205</v>
      </c>
      <c r="L125" s="23"/>
    </row>
    <row r="126" spans="1:12">
      <c r="A126" s="23" t="s">
        <v>9</v>
      </c>
      <c r="B126" s="23" t="s">
        <v>113</v>
      </c>
      <c r="C126" s="23" t="s">
        <v>48</v>
      </c>
      <c r="D126" s="49" t="str">
        <f t="shared" si="3"/>
        <v>T01: M75 | T02: BMC</v>
      </c>
      <c r="E126" s="49" t="s">
        <v>91</v>
      </c>
      <c r="F126" s="23" t="s">
        <v>41</v>
      </c>
      <c r="G126" s="43">
        <v>124.67532467532466</v>
      </c>
      <c r="H126" s="43"/>
      <c r="I126" s="44">
        <v>44576</v>
      </c>
      <c r="J126" s="44"/>
      <c r="K126" s="44" t="s">
        <v>205</v>
      </c>
      <c r="L126" s="23"/>
    </row>
    <row r="127" spans="1:12">
      <c r="A127" s="23" t="s">
        <v>9</v>
      </c>
      <c r="B127" s="23" t="s">
        <v>113</v>
      </c>
      <c r="C127" s="23" t="s">
        <v>55</v>
      </c>
      <c r="D127" s="49" t="str">
        <f t="shared" si="3"/>
        <v>T01: M75 | T02: BMC</v>
      </c>
      <c r="E127" s="49" t="s">
        <v>91</v>
      </c>
      <c r="F127" s="23" t="s">
        <v>41</v>
      </c>
      <c r="G127" s="43">
        <v>62.33766233766233</v>
      </c>
      <c r="H127" s="43"/>
      <c r="I127" s="44">
        <v>44576</v>
      </c>
      <c r="J127" s="44"/>
      <c r="K127" s="44" t="s">
        <v>205</v>
      </c>
      <c r="L127" s="23"/>
    </row>
    <row r="128" spans="1:12">
      <c r="A128" s="23" t="s">
        <v>9</v>
      </c>
      <c r="B128" s="23" t="s">
        <v>113</v>
      </c>
      <c r="C128" s="23" t="s">
        <v>39</v>
      </c>
      <c r="D128" s="49" t="str">
        <f t="shared" si="3"/>
        <v>T01: M75 | T02: BMC</v>
      </c>
      <c r="E128" s="49" t="s">
        <v>91</v>
      </c>
      <c r="F128" s="23" t="s">
        <v>41</v>
      </c>
      <c r="G128" s="43">
        <v>175.32467532467533</v>
      </c>
      <c r="H128" s="43"/>
      <c r="I128" s="44">
        <v>44576</v>
      </c>
      <c r="J128" s="44"/>
      <c r="K128" s="44" t="s">
        <v>205</v>
      </c>
      <c r="L128" s="23"/>
    </row>
    <row r="129" spans="1:12">
      <c r="A129" s="23" t="s">
        <v>9</v>
      </c>
      <c r="B129" s="23" t="s">
        <v>113</v>
      </c>
      <c r="C129" s="23" t="s">
        <v>61</v>
      </c>
      <c r="D129" s="49" t="str">
        <f t="shared" si="3"/>
        <v>T01: M75 | T02: XH</v>
      </c>
      <c r="E129" s="49" t="s">
        <v>244</v>
      </c>
      <c r="F129" s="23" t="s">
        <v>41</v>
      </c>
      <c r="G129" s="43">
        <v>122.07792207792207</v>
      </c>
      <c r="H129" s="43"/>
      <c r="I129" s="44">
        <v>44576</v>
      </c>
      <c r="J129" s="44"/>
      <c r="K129" s="44" t="s">
        <v>205</v>
      </c>
      <c r="L129" s="23"/>
    </row>
    <row r="130" spans="1:12">
      <c r="A130" s="23" t="s">
        <v>9</v>
      </c>
      <c r="B130" s="23" t="s">
        <v>113</v>
      </c>
      <c r="C130" s="23" t="s">
        <v>48</v>
      </c>
      <c r="D130" s="49" t="str">
        <f t="shared" si="3"/>
        <v>T01: M75 | T02: XH</v>
      </c>
      <c r="E130" s="49" t="s">
        <v>244</v>
      </c>
      <c r="F130" s="23" t="s">
        <v>41</v>
      </c>
      <c r="G130" s="43">
        <v>122.07792207792207</v>
      </c>
      <c r="H130" s="43"/>
      <c r="I130" s="44">
        <v>44576</v>
      </c>
      <c r="J130" s="44"/>
      <c r="K130" s="44" t="s">
        <v>205</v>
      </c>
      <c r="L130" s="23"/>
    </row>
    <row r="131" spans="1:12">
      <c r="A131" s="23" t="s">
        <v>9</v>
      </c>
      <c r="B131" s="23" t="s">
        <v>113</v>
      </c>
      <c r="C131" s="23" t="s">
        <v>55</v>
      </c>
      <c r="D131" s="49" t="str">
        <f t="shared" si="3"/>
        <v>T01: M75 | T02: XH</v>
      </c>
      <c r="E131" s="49" t="s">
        <v>244</v>
      </c>
      <c r="F131" s="23" t="s">
        <v>41</v>
      </c>
      <c r="G131" s="43">
        <v>61.038961038961034</v>
      </c>
      <c r="H131" s="43"/>
      <c r="I131" s="44">
        <v>44576</v>
      </c>
      <c r="J131" s="44"/>
      <c r="K131" s="44" t="s">
        <v>205</v>
      </c>
      <c r="L131" s="23"/>
    </row>
    <row r="132" spans="1:12">
      <c r="A132" s="23" t="s">
        <v>9</v>
      </c>
      <c r="B132" s="23" t="s">
        <v>113</v>
      </c>
      <c r="C132" s="23" t="s">
        <v>61</v>
      </c>
      <c r="D132" s="49" t="str">
        <f t="shared" si="3"/>
        <v>T01: M75 | T02: BMC</v>
      </c>
      <c r="E132" s="49" t="s">
        <v>91</v>
      </c>
      <c r="F132" s="23" t="s">
        <v>41</v>
      </c>
      <c r="G132" s="43">
        <v>129.62962962962962</v>
      </c>
      <c r="H132" s="43"/>
      <c r="I132" s="44">
        <v>44617</v>
      </c>
      <c r="J132" s="44"/>
      <c r="K132" s="44" t="s">
        <v>205</v>
      </c>
      <c r="L132" s="23"/>
    </row>
    <row r="133" spans="1:12">
      <c r="A133" s="23" t="s">
        <v>9</v>
      </c>
      <c r="B133" s="23" t="s">
        <v>113</v>
      </c>
      <c r="C133" s="23" t="s">
        <v>48</v>
      </c>
      <c r="D133" s="49" t="str">
        <f t="shared" si="3"/>
        <v>T01: M75 | T02: BMC</v>
      </c>
      <c r="E133" s="49" t="s">
        <v>91</v>
      </c>
      <c r="F133" s="23" t="s">
        <v>41</v>
      </c>
      <c r="G133" s="43">
        <v>129.62962962962962</v>
      </c>
      <c r="H133" s="43"/>
      <c r="I133" s="44">
        <v>44617</v>
      </c>
      <c r="J133" s="44"/>
      <c r="K133" s="44" t="s">
        <v>205</v>
      </c>
      <c r="L133" s="23"/>
    </row>
    <row r="134" spans="1:12">
      <c r="A134" s="23" t="s">
        <v>9</v>
      </c>
      <c r="B134" s="23" t="s">
        <v>113</v>
      </c>
      <c r="C134" s="23" t="s">
        <v>55</v>
      </c>
      <c r="D134" s="49" t="str">
        <f t="shared" si="3"/>
        <v>T01: M75 | T02: BMC</v>
      </c>
      <c r="E134" s="49" t="s">
        <v>91</v>
      </c>
      <c r="F134" s="23" t="s">
        <v>41</v>
      </c>
      <c r="G134" s="43">
        <v>64.81481481481481</v>
      </c>
      <c r="H134" s="43"/>
      <c r="I134" s="44">
        <v>44617</v>
      </c>
      <c r="J134" s="44"/>
      <c r="K134" s="44" t="s">
        <v>205</v>
      </c>
      <c r="L134" s="23"/>
    </row>
    <row r="135" spans="1:12">
      <c r="A135" s="23" t="s">
        <v>9</v>
      </c>
      <c r="B135" s="23" t="s">
        <v>113</v>
      </c>
      <c r="C135" s="23" t="s">
        <v>61</v>
      </c>
      <c r="D135" s="49" t="str">
        <f t="shared" si="3"/>
        <v>T01: M75 | T02: XH</v>
      </c>
      <c r="E135" s="49" t="s">
        <v>244</v>
      </c>
      <c r="F135" s="23" t="s">
        <v>41</v>
      </c>
      <c r="G135" s="43">
        <v>126.98412698412697</v>
      </c>
      <c r="H135" s="43"/>
      <c r="I135" s="44">
        <v>44617</v>
      </c>
      <c r="J135" s="44"/>
      <c r="K135" s="44" t="s">
        <v>205</v>
      </c>
      <c r="L135" s="23"/>
    </row>
    <row r="136" spans="1:12">
      <c r="A136" s="23" t="s">
        <v>9</v>
      </c>
      <c r="B136" s="23" t="s">
        <v>113</v>
      </c>
      <c r="C136" s="23" t="s">
        <v>48</v>
      </c>
      <c r="D136" s="49" t="str">
        <f t="shared" si="3"/>
        <v>T01: M75 | T02: XH</v>
      </c>
      <c r="E136" s="49" t="s">
        <v>244</v>
      </c>
      <c r="F136" s="23" t="s">
        <v>41</v>
      </c>
      <c r="G136" s="43">
        <v>126.98412698412697</v>
      </c>
      <c r="H136" s="43"/>
      <c r="I136" s="44">
        <v>44617</v>
      </c>
      <c r="J136" s="44"/>
      <c r="K136" s="44" t="s">
        <v>205</v>
      </c>
      <c r="L136" s="23"/>
    </row>
    <row r="137" spans="1:12">
      <c r="A137" s="23" t="s">
        <v>9</v>
      </c>
      <c r="B137" s="23" t="s">
        <v>113</v>
      </c>
      <c r="C137" s="23" t="s">
        <v>55</v>
      </c>
      <c r="D137" s="49" t="str">
        <f t="shared" si="3"/>
        <v>T01: M75 | T02: XH</v>
      </c>
      <c r="E137" s="49" t="s">
        <v>244</v>
      </c>
      <c r="F137" s="23" t="s">
        <v>41</v>
      </c>
      <c r="G137" s="43">
        <v>63.492063492063487</v>
      </c>
      <c r="H137" s="43"/>
      <c r="I137" s="44">
        <v>44617</v>
      </c>
      <c r="J137" s="44"/>
      <c r="K137" s="44" t="s">
        <v>205</v>
      </c>
      <c r="L137" s="23"/>
    </row>
    <row r="138" spans="1:12">
      <c r="A138" s="23" t="s">
        <v>9</v>
      </c>
      <c r="B138" s="23" t="s">
        <v>113</v>
      </c>
      <c r="C138" s="23" t="s">
        <v>61</v>
      </c>
      <c r="D138" s="49" t="str">
        <f t="shared" si="3"/>
        <v>T01: M75 | T02: BMC</v>
      </c>
      <c r="E138" s="49" t="s">
        <v>91</v>
      </c>
      <c r="F138" s="23" t="s">
        <v>41</v>
      </c>
      <c r="G138" s="43">
        <v>133.59714285714284</v>
      </c>
      <c r="H138" s="43"/>
      <c r="I138" s="44">
        <v>44636</v>
      </c>
      <c r="J138" s="44"/>
      <c r="K138" s="44" t="s">
        <v>205</v>
      </c>
      <c r="L138" s="23"/>
    </row>
    <row r="139" spans="1:12">
      <c r="A139" s="23" t="s">
        <v>9</v>
      </c>
      <c r="B139" s="23" t="s">
        <v>113</v>
      </c>
      <c r="C139" s="23" t="s">
        <v>48</v>
      </c>
      <c r="D139" s="49" t="str">
        <f t="shared" si="3"/>
        <v>T01: M75 | T02: BMC</v>
      </c>
      <c r="E139" s="49" t="s">
        <v>91</v>
      </c>
      <c r="F139" s="23" t="s">
        <v>41</v>
      </c>
      <c r="G139" s="43">
        <v>133.59714285714284</v>
      </c>
      <c r="H139" s="43"/>
      <c r="I139" s="44">
        <v>44636</v>
      </c>
      <c r="J139" s="44"/>
      <c r="K139" s="44" t="s">
        <v>205</v>
      </c>
      <c r="L139" s="23"/>
    </row>
    <row r="140" spans="1:12">
      <c r="A140" s="23" t="s">
        <v>9</v>
      </c>
      <c r="B140" s="23" t="s">
        <v>113</v>
      </c>
      <c r="C140" s="23" t="s">
        <v>55</v>
      </c>
      <c r="D140" s="49" t="str">
        <f t="shared" si="3"/>
        <v>T01: M75 | T02: BMC</v>
      </c>
      <c r="E140" s="49" t="s">
        <v>91</v>
      </c>
      <c r="F140" s="23" t="s">
        <v>41</v>
      </c>
      <c r="G140" s="43">
        <v>66.798571428571421</v>
      </c>
      <c r="H140" s="43"/>
      <c r="I140" s="44">
        <v>44636</v>
      </c>
      <c r="J140" s="44"/>
      <c r="K140" s="44" t="s">
        <v>205</v>
      </c>
      <c r="L140" s="23"/>
    </row>
    <row r="141" spans="1:12">
      <c r="A141" s="23" t="s">
        <v>9</v>
      </c>
      <c r="B141" s="23" t="s">
        <v>113</v>
      </c>
      <c r="C141" s="23" t="s">
        <v>61</v>
      </c>
      <c r="D141" s="49" t="str">
        <f t="shared" si="3"/>
        <v>T01: M75 | T02: XH</v>
      </c>
      <c r="E141" s="49" t="s">
        <v>244</v>
      </c>
      <c r="F141" s="23" t="s">
        <v>41</v>
      </c>
      <c r="G141" s="43">
        <v>132.27142857142857</v>
      </c>
      <c r="H141" s="43"/>
      <c r="I141" s="44">
        <v>44636</v>
      </c>
      <c r="J141" s="44"/>
      <c r="K141" s="44" t="s">
        <v>205</v>
      </c>
      <c r="L141" s="23"/>
    </row>
    <row r="142" spans="1:12">
      <c r="A142" s="23" t="s">
        <v>9</v>
      </c>
      <c r="B142" s="23" t="s">
        <v>113</v>
      </c>
      <c r="C142" s="23" t="s">
        <v>48</v>
      </c>
      <c r="D142" s="49" t="str">
        <f t="shared" si="3"/>
        <v>T01: M75 | T02: XH</v>
      </c>
      <c r="E142" s="49" t="s">
        <v>244</v>
      </c>
      <c r="F142" s="23" t="s">
        <v>41</v>
      </c>
      <c r="G142" s="43">
        <v>132.27142857142857</v>
      </c>
      <c r="H142" s="43"/>
      <c r="I142" s="44">
        <v>44636</v>
      </c>
      <c r="J142" s="44"/>
      <c r="K142" s="44" t="s">
        <v>205</v>
      </c>
      <c r="L142" s="23"/>
    </row>
    <row r="143" spans="1:12">
      <c r="A143" s="23" t="s">
        <v>9</v>
      </c>
      <c r="B143" s="23" t="s">
        <v>113</v>
      </c>
      <c r="C143" s="23" t="s">
        <v>55</v>
      </c>
      <c r="D143" s="49" t="str">
        <f t="shared" si="3"/>
        <v>T01: M75 | T02: XH</v>
      </c>
      <c r="E143" s="49" t="s">
        <v>244</v>
      </c>
      <c r="F143" s="23" t="s">
        <v>41</v>
      </c>
      <c r="G143" s="43">
        <v>66.135714285714286</v>
      </c>
      <c r="H143" s="43"/>
      <c r="I143" s="44">
        <v>44636</v>
      </c>
      <c r="J143" s="44"/>
      <c r="K143" s="44" t="s">
        <v>205</v>
      </c>
      <c r="L143" s="23"/>
    </row>
    <row r="144" spans="1:12">
      <c r="A144" s="23" t="s">
        <v>9</v>
      </c>
      <c r="B144" s="23" t="s">
        <v>113</v>
      </c>
      <c r="C144" s="23" t="s">
        <v>61</v>
      </c>
      <c r="D144" s="49" t="str">
        <f t="shared" si="3"/>
        <v>T01: M75 | T02: BMC</v>
      </c>
      <c r="E144" s="49" t="s">
        <v>91</v>
      </c>
      <c r="F144" s="23" t="s">
        <v>41</v>
      </c>
      <c r="G144" s="43">
        <v>136.28571428571428</v>
      </c>
      <c r="H144" s="43"/>
      <c r="I144" s="44">
        <v>44652</v>
      </c>
      <c r="J144" s="44"/>
      <c r="K144" s="44" t="s">
        <v>205</v>
      </c>
      <c r="L144" s="23"/>
    </row>
    <row r="145" spans="1:12">
      <c r="A145" s="23" t="s">
        <v>9</v>
      </c>
      <c r="B145" s="23" t="s">
        <v>113</v>
      </c>
      <c r="C145" s="23" t="s">
        <v>48</v>
      </c>
      <c r="D145" s="49" t="str">
        <f t="shared" si="3"/>
        <v>T01: M75 | T02: BMC</v>
      </c>
      <c r="E145" s="49" t="s">
        <v>91</v>
      </c>
      <c r="F145" s="23" t="s">
        <v>41</v>
      </c>
      <c r="G145" s="43">
        <v>136.28571428571428</v>
      </c>
      <c r="H145" s="43"/>
      <c r="I145" s="44">
        <v>44652</v>
      </c>
      <c r="J145" s="44"/>
      <c r="K145" s="44" t="s">
        <v>205</v>
      </c>
      <c r="L145" s="23"/>
    </row>
    <row r="146" spans="1:12">
      <c r="A146" s="23" t="s">
        <v>9</v>
      </c>
      <c r="B146" s="23" t="s">
        <v>113</v>
      </c>
      <c r="C146" s="23" t="s">
        <v>55</v>
      </c>
      <c r="D146" s="49" t="str">
        <f t="shared" si="3"/>
        <v>T01: M75 | T02: BMC</v>
      </c>
      <c r="E146" s="49" t="s">
        <v>91</v>
      </c>
      <c r="F146" s="23" t="s">
        <v>41</v>
      </c>
      <c r="G146" s="43">
        <v>68.142857142857139</v>
      </c>
      <c r="H146" s="43"/>
      <c r="I146" s="44">
        <v>44652</v>
      </c>
      <c r="J146" s="44"/>
      <c r="K146" s="44" t="s">
        <v>205</v>
      </c>
      <c r="L146" s="23"/>
    </row>
    <row r="147" spans="1:12">
      <c r="A147" s="23" t="s">
        <v>9</v>
      </c>
      <c r="B147" s="23" t="s">
        <v>113</v>
      </c>
      <c r="C147" s="23" t="s">
        <v>61</v>
      </c>
      <c r="D147" s="49" t="str">
        <f t="shared" si="3"/>
        <v>T01: M75 | T02: XH</v>
      </c>
      <c r="E147" s="49" t="s">
        <v>244</v>
      </c>
      <c r="F147" s="23" t="s">
        <v>41</v>
      </c>
      <c r="G147" s="43">
        <v>135</v>
      </c>
      <c r="H147" s="43"/>
      <c r="I147" s="44">
        <v>44652</v>
      </c>
      <c r="J147" s="44"/>
      <c r="K147" s="44" t="s">
        <v>205</v>
      </c>
      <c r="L147" s="23"/>
    </row>
    <row r="148" spans="1:12">
      <c r="A148" s="23" t="s">
        <v>9</v>
      </c>
      <c r="B148" s="23" t="s">
        <v>113</v>
      </c>
      <c r="C148" s="23" t="s">
        <v>48</v>
      </c>
      <c r="D148" s="49" t="str">
        <f t="shared" si="3"/>
        <v>T01: M75 | T02: XH</v>
      </c>
      <c r="E148" s="49" t="s">
        <v>244</v>
      </c>
      <c r="F148" s="23" t="s">
        <v>41</v>
      </c>
      <c r="G148" s="43">
        <v>135</v>
      </c>
      <c r="H148" s="43"/>
      <c r="I148" s="44">
        <v>44652</v>
      </c>
      <c r="J148" s="44"/>
      <c r="K148" s="44" t="s">
        <v>205</v>
      </c>
      <c r="L148" s="23"/>
    </row>
    <row r="149" spans="1:12">
      <c r="A149" s="23" t="s">
        <v>9</v>
      </c>
      <c r="B149" s="23" t="s">
        <v>113</v>
      </c>
      <c r="C149" s="23" t="s">
        <v>55</v>
      </c>
      <c r="D149" s="49" t="str">
        <f t="shared" si="3"/>
        <v>T01: M75 | T02: XH</v>
      </c>
      <c r="E149" s="49" t="s">
        <v>244</v>
      </c>
      <c r="F149" s="23" t="s">
        <v>41</v>
      </c>
      <c r="G149" s="43">
        <v>67.5</v>
      </c>
      <c r="H149" s="43"/>
      <c r="I149" s="44">
        <v>44652</v>
      </c>
      <c r="J149" s="44"/>
      <c r="K149" s="44" t="s">
        <v>205</v>
      </c>
      <c r="L149" s="23"/>
    </row>
    <row r="150" spans="1:12">
      <c r="A150" s="23" t="s">
        <v>9</v>
      </c>
      <c r="B150" s="23" t="s">
        <v>113</v>
      </c>
      <c r="C150" s="23" t="s">
        <v>61</v>
      </c>
      <c r="D150" s="49" t="str">
        <f t="shared" ref="D150:D213" si="4">"T01: M75 | T02: "&amp;E150</f>
        <v>T01: M75 | T02: BMC</v>
      </c>
      <c r="E150" s="49" t="s">
        <v>91</v>
      </c>
      <c r="F150" s="23" t="s">
        <v>41</v>
      </c>
      <c r="G150" s="43">
        <v>149.42857142857142</v>
      </c>
      <c r="H150" s="43"/>
      <c r="I150" s="44">
        <v>44659</v>
      </c>
      <c r="J150" s="44"/>
      <c r="K150" s="44" t="s">
        <v>205</v>
      </c>
      <c r="L150" s="23"/>
    </row>
    <row r="151" spans="1:12">
      <c r="A151" s="23" t="s">
        <v>9</v>
      </c>
      <c r="B151" s="23" t="s">
        <v>113</v>
      </c>
      <c r="C151" s="23" t="s">
        <v>48</v>
      </c>
      <c r="D151" s="49" t="str">
        <f t="shared" si="4"/>
        <v>T01: M75 | T02: BMC</v>
      </c>
      <c r="E151" s="49" t="s">
        <v>91</v>
      </c>
      <c r="F151" s="23" t="s">
        <v>41</v>
      </c>
      <c r="G151" s="43">
        <v>149.42857142857142</v>
      </c>
      <c r="H151" s="43"/>
      <c r="I151" s="44">
        <v>44659</v>
      </c>
      <c r="J151" s="44"/>
      <c r="K151" s="44" t="s">
        <v>205</v>
      </c>
      <c r="L151" s="23"/>
    </row>
    <row r="152" spans="1:12">
      <c r="A152" s="23" t="s">
        <v>9</v>
      </c>
      <c r="B152" s="23" t="s">
        <v>113</v>
      </c>
      <c r="C152" s="23" t="s">
        <v>55</v>
      </c>
      <c r="D152" s="49" t="str">
        <f t="shared" si="4"/>
        <v>T01: M75 | T02: BMC</v>
      </c>
      <c r="E152" s="49" t="s">
        <v>91</v>
      </c>
      <c r="F152" s="23" t="s">
        <v>41</v>
      </c>
      <c r="G152" s="43">
        <v>74.714285714285708</v>
      </c>
      <c r="H152" s="43"/>
      <c r="I152" s="44">
        <v>44659</v>
      </c>
      <c r="J152" s="44"/>
      <c r="K152" s="44" t="s">
        <v>205</v>
      </c>
      <c r="L152" s="23"/>
    </row>
    <row r="153" spans="1:12">
      <c r="A153" s="23" t="s">
        <v>9</v>
      </c>
      <c r="B153" s="23" t="s">
        <v>113</v>
      </c>
      <c r="C153" s="23" t="s">
        <v>61</v>
      </c>
      <c r="D153" s="49" t="str">
        <f t="shared" si="4"/>
        <v>T01: M75 | T02: XH</v>
      </c>
      <c r="E153" s="49" t="s">
        <v>244</v>
      </c>
      <c r="F153" s="23" t="s">
        <v>41</v>
      </c>
      <c r="G153" s="43">
        <v>149.42857142857142</v>
      </c>
      <c r="H153" s="43"/>
      <c r="I153" s="44">
        <v>44659</v>
      </c>
      <c r="J153" s="44"/>
      <c r="K153" s="44" t="s">
        <v>205</v>
      </c>
      <c r="L153" s="23"/>
    </row>
    <row r="154" spans="1:12">
      <c r="A154" s="23" t="s">
        <v>9</v>
      </c>
      <c r="B154" s="23" t="s">
        <v>113</v>
      </c>
      <c r="C154" s="23" t="s">
        <v>48</v>
      </c>
      <c r="D154" s="49" t="str">
        <f t="shared" si="4"/>
        <v>T01: M75 | T02: XH</v>
      </c>
      <c r="E154" s="49" t="s">
        <v>244</v>
      </c>
      <c r="F154" s="23" t="s">
        <v>41</v>
      </c>
      <c r="G154" s="43">
        <v>149.42857142857142</v>
      </c>
      <c r="H154" s="43"/>
      <c r="I154" s="44">
        <v>44659</v>
      </c>
      <c r="J154" s="44"/>
      <c r="K154" s="44" t="s">
        <v>205</v>
      </c>
      <c r="L154" s="23"/>
    </row>
    <row r="155" spans="1:12">
      <c r="A155" s="23" t="s">
        <v>9</v>
      </c>
      <c r="B155" s="23" t="s">
        <v>113</v>
      </c>
      <c r="C155" s="23" t="s">
        <v>55</v>
      </c>
      <c r="D155" s="49" t="str">
        <f t="shared" si="4"/>
        <v>T01: M75 | T02: XH</v>
      </c>
      <c r="E155" s="49" t="s">
        <v>244</v>
      </c>
      <c r="F155" s="23" t="s">
        <v>41</v>
      </c>
      <c r="G155" s="43">
        <v>74.714285714285708</v>
      </c>
      <c r="H155" s="43"/>
      <c r="I155" s="44">
        <v>44659</v>
      </c>
      <c r="J155" s="44"/>
      <c r="K155" s="44" t="s">
        <v>205</v>
      </c>
      <c r="L155" s="23"/>
    </row>
    <row r="156" spans="1:12">
      <c r="A156" s="23" t="s">
        <v>9</v>
      </c>
      <c r="B156" s="23" t="s">
        <v>113</v>
      </c>
      <c r="C156" s="23" t="s">
        <v>61</v>
      </c>
      <c r="D156" s="49" t="str">
        <f t="shared" si="4"/>
        <v>T01: M75 | T02: BMC</v>
      </c>
      <c r="E156" s="49" t="s">
        <v>91</v>
      </c>
      <c r="F156" s="23" t="s">
        <v>41</v>
      </c>
      <c r="G156" s="43">
        <v>146.85714285714286</v>
      </c>
      <c r="H156" s="43"/>
      <c r="I156" s="44">
        <v>44663</v>
      </c>
      <c r="J156" s="44"/>
      <c r="K156" s="44" t="s">
        <v>205</v>
      </c>
      <c r="L156" s="23"/>
    </row>
    <row r="157" spans="1:12">
      <c r="A157" s="23" t="s">
        <v>9</v>
      </c>
      <c r="B157" s="23" t="s">
        <v>113</v>
      </c>
      <c r="C157" s="23" t="s">
        <v>48</v>
      </c>
      <c r="D157" s="49" t="str">
        <f t="shared" si="4"/>
        <v>T01: M75 | T02: BMC</v>
      </c>
      <c r="E157" s="49" t="s">
        <v>91</v>
      </c>
      <c r="F157" s="23" t="s">
        <v>41</v>
      </c>
      <c r="G157" s="43">
        <v>146.85714285714286</v>
      </c>
      <c r="H157" s="43"/>
      <c r="I157" s="44">
        <v>44663</v>
      </c>
      <c r="J157" s="44"/>
      <c r="K157" s="44" t="s">
        <v>205</v>
      </c>
      <c r="L157" s="23"/>
    </row>
    <row r="158" spans="1:12">
      <c r="A158" s="23" t="s">
        <v>9</v>
      </c>
      <c r="B158" s="23" t="s">
        <v>113</v>
      </c>
      <c r="C158" s="23" t="s">
        <v>55</v>
      </c>
      <c r="D158" s="49" t="str">
        <f t="shared" si="4"/>
        <v>T01: M75 | T02: BMC</v>
      </c>
      <c r="E158" s="49" t="s">
        <v>91</v>
      </c>
      <c r="F158" s="23" t="s">
        <v>41</v>
      </c>
      <c r="G158" s="43">
        <v>73.428571428571431</v>
      </c>
      <c r="H158" s="43"/>
      <c r="I158" s="44">
        <v>44663</v>
      </c>
      <c r="J158" s="44"/>
      <c r="K158" s="44" t="s">
        <v>205</v>
      </c>
      <c r="L158" s="23"/>
    </row>
    <row r="159" spans="1:12">
      <c r="A159" s="23" t="s">
        <v>9</v>
      </c>
      <c r="B159" s="23" t="s">
        <v>113</v>
      </c>
      <c r="C159" s="23" t="s">
        <v>61</v>
      </c>
      <c r="D159" s="49" t="str">
        <f t="shared" si="4"/>
        <v>T01: M75 | T02: XH</v>
      </c>
      <c r="E159" s="49" t="s">
        <v>244</v>
      </c>
      <c r="F159" s="23" t="s">
        <v>41</v>
      </c>
      <c r="G159" s="43">
        <v>146.85714285714286</v>
      </c>
      <c r="H159" s="43"/>
      <c r="I159" s="44">
        <v>44663</v>
      </c>
      <c r="J159" s="44"/>
      <c r="K159" s="44" t="s">
        <v>205</v>
      </c>
      <c r="L159" s="23"/>
    </row>
    <row r="160" spans="1:12">
      <c r="A160" s="23" t="s">
        <v>9</v>
      </c>
      <c r="B160" s="23" t="s">
        <v>113</v>
      </c>
      <c r="C160" s="23" t="s">
        <v>48</v>
      </c>
      <c r="D160" s="49" t="str">
        <f t="shared" si="4"/>
        <v>T01: M75 | T02: XH</v>
      </c>
      <c r="E160" s="49" t="s">
        <v>244</v>
      </c>
      <c r="F160" s="23" t="s">
        <v>41</v>
      </c>
      <c r="G160" s="43">
        <v>146.85714285714286</v>
      </c>
      <c r="H160" s="43"/>
      <c r="I160" s="44">
        <v>44663</v>
      </c>
      <c r="J160" s="44"/>
      <c r="K160" s="44" t="s">
        <v>205</v>
      </c>
      <c r="L160" s="23"/>
    </row>
    <row r="161" spans="1:12">
      <c r="A161" s="23" t="s">
        <v>9</v>
      </c>
      <c r="B161" s="23" t="s">
        <v>113</v>
      </c>
      <c r="C161" s="23" t="s">
        <v>55</v>
      </c>
      <c r="D161" s="49" t="str">
        <f t="shared" si="4"/>
        <v>T01: M75 | T02: XH</v>
      </c>
      <c r="E161" s="49" t="s">
        <v>244</v>
      </c>
      <c r="F161" s="23" t="s">
        <v>41</v>
      </c>
      <c r="G161" s="43">
        <v>73.428571428571431</v>
      </c>
      <c r="H161" s="43"/>
      <c r="I161" s="44">
        <v>44663</v>
      </c>
      <c r="J161" s="44"/>
      <c r="K161" s="44" t="s">
        <v>205</v>
      </c>
      <c r="L161" s="23"/>
    </row>
    <row r="162" spans="1:12">
      <c r="A162" s="23" t="s">
        <v>9</v>
      </c>
      <c r="B162" s="23" t="s">
        <v>113</v>
      </c>
      <c r="C162" s="23" t="s">
        <v>61</v>
      </c>
      <c r="D162" s="49" t="str">
        <f t="shared" si="4"/>
        <v>T01: M75 | T02: BMC</v>
      </c>
      <c r="E162" s="49" t="s">
        <v>91</v>
      </c>
      <c r="F162" s="23" t="s">
        <v>41</v>
      </c>
      <c r="G162" s="43">
        <v>157.42857142857142</v>
      </c>
      <c r="H162" s="43"/>
      <c r="I162" s="44">
        <v>44682</v>
      </c>
      <c r="J162" s="44"/>
      <c r="K162" s="44" t="s">
        <v>205</v>
      </c>
      <c r="L162" s="23"/>
    </row>
    <row r="163" spans="1:12">
      <c r="A163" s="23" t="s">
        <v>9</v>
      </c>
      <c r="B163" s="23" t="s">
        <v>113</v>
      </c>
      <c r="C163" s="23" t="s">
        <v>48</v>
      </c>
      <c r="D163" s="49" t="str">
        <f t="shared" si="4"/>
        <v>T01: M75 | T02: BMC</v>
      </c>
      <c r="E163" s="49" t="s">
        <v>91</v>
      </c>
      <c r="F163" s="23" t="s">
        <v>41</v>
      </c>
      <c r="G163" s="43">
        <v>157.42857142857142</v>
      </c>
      <c r="H163" s="43"/>
      <c r="I163" s="44">
        <v>44682</v>
      </c>
      <c r="J163" s="44"/>
      <c r="K163" s="44" t="s">
        <v>205</v>
      </c>
      <c r="L163" s="23"/>
    </row>
    <row r="164" spans="1:12">
      <c r="A164" s="23" t="s">
        <v>9</v>
      </c>
      <c r="B164" s="23" t="s">
        <v>113</v>
      </c>
      <c r="C164" s="23" t="s">
        <v>55</v>
      </c>
      <c r="D164" s="49" t="str">
        <f t="shared" si="4"/>
        <v>T01: M75 | T02: BMC</v>
      </c>
      <c r="E164" s="49" t="s">
        <v>91</v>
      </c>
      <c r="F164" s="23" t="s">
        <v>41</v>
      </c>
      <c r="G164" s="43">
        <v>81.349206349206355</v>
      </c>
      <c r="H164" s="43"/>
      <c r="I164" s="44">
        <v>44682</v>
      </c>
      <c r="J164" s="44"/>
      <c r="K164" s="44" t="s">
        <v>205</v>
      </c>
      <c r="L164" s="23"/>
    </row>
    <row r="165" spans="1:12">
      <c r="A165" s="23" t="s">
        <v>9</v>
      </c>
      <c r="B165" s="23" t="s">
        <v>113</v>
      </c>
      <c r="C165" s="23" t="s">
        <v>61</v>
      </c>
      <c r="D165" s="49" t="str">
        <f t="shared" si="4"/>
        <v>T01: M75 | T02: XH</v>
      </c>
      <c r="E165" s="49" t="s">
        <v>244</v>
      </c>
      <c r="F165" s="23" t="s">
        <v>41</v>
      </c>
      <c r="G165" s="43">
        <v>160</v>
      </c>
      <c r="H165" s="43"/>
      <c r="I165" s="44">
        <v>44682</v>
      </c>
      <c r="J165" s="44"/>
      <c r="K165" s="44" t="s">
        <v>205</v>
      </c>
      <c r="L165" s="23"/>
    </row>
    <row r="166" spans="1:12">
      <c r="A166" s="23" t="s">
        <v>9</v>
      </c>
      <c r="B166" s="23" t="s">
        <v>113</v>
      </c>
      <c r="C166" s="23" t="s">
        <v>48</v>
      </c>
      <c r="D166" s="49" t="str">
        <f t="shared" si="4"/>
        <v>T01: M75 | T02: XH</v>
      </c>
      <c r="E166" s="49" t="s">
        <v>244</v>
      </c>
      <c r="F166" s="23" t="s">
        <v>41</v>
      </c>
      <c r="G166" s="43">
        <v>160</v>
      </c>
      <c r="H166" s="43"/>
      <c r="I166" s="44">
        <v>44682</v>
      </c>
      <c r="J166" s="44"/>
      <c r="K166" s="44" t="s">
        <v>205</v>
      </c>
      <c r="L166" s="23"/>
    </row>
    <row r="167" spans="1:12">
      <c r="A167" s="23" t="s">
        <v>9</v>
      </c>
      <c r="B167" s="23" t="s">
        <v>113</v>
      </c>
      <c r="C167" s="23" t="s">
        <v>55</v>
      </c>
      <c r="D167" s="49" t="str">
        <f t="shared" si="4"/>
        <v>T01: M75 | T02: XH</v>
      </c>
      <c r="E167" s="49" t="s">
        <v>244</v>
      </c>
      <c r="F167" s="23" t="s">
        <v>41</v>
      </c>
      <c r="G167" s="43">
        <v>80.026455026455011</v>
      </c>
      <c r="H167" s="43"/>
      <c r="I167" s="44">
        <v>44682</v>
      </c>
      <c r="J167" s="44"/>
      <c r="K167" s="44" t="s">
        <v>205</v>
      </c>
      <c r="L167" s="23"/>
    </row>
    <row r="168" spans="1:12">
      <c r="A168" s="23" t="s">
        <v>9</v>
      </c>
      <c r="B168" s="23" t="s">
        <v>113</v>
      </c>
      <c r="C168" s="23" t="s">
        <v>61</v>
      </c>
      <c r="D168" s="49" t="str">
        <f t="shared" si="4"/>
        <v>T01: M75 | T02: BMC</v>
      </c>
      <c r="E168" s="49" t="s">
        <v>91</v>
      </c>
      <c r="F168" s="23" t="s">
        <v>41</v>
      </c>
      <c r="G168" s="43">
        <v>208.99470899470899</v>
      </c>
      <c r="H168" s="43"/>
      <c r="I168" s="44">
        <v>44688</v>
      </c>
      <c r="J168" s="44"/>
      <c r="K168" s="44" t="s">
        <v>205</v>
      </c>
      <c r="L168" s="23"/>
    </row>
    <row r="169" spans="1:12">
      <c r="A169" s="23" t="s">
        <v>9</v>
      </c>
      <c r="B169" s="23" t="s">
        <v>113</v>
      </c>
      <c r="C169" s="23" t="s">
        <v>48</v>
      </c>
      <c r="D169" s="49" t="str">
        <f t="shared" si="4"/>
        <v>T01: M75 | T02: BMC</v>
      </c>
      <c r="E169" s="49" t="s">
        <v>91</v>
      </c>
      <c r="F169" s="23" t="s">
        <v>41</v>
      </c>
      <c r="G169" s="43">
        <v>208.99470899470899</v>
      </c>
      <c r="H169" s="43"/>
      <c r="I169" s="44">
        <v>44688</v>
      </c>
      <c r="J169" s="44"/>
      <c r="K169" s="44" t="s">
        <v>205</v>
      </c>
      <c r="L169" s="23"/>
    </row>
    <row r="170" spans="1:12">
      <c r="A170" s="23" t="s">
        <v>9</v>
      </c>
      <c r="B170" s="23" t="s">
        <v>113</v>
      </c>
      <c r="C170" s="23" t="s">
        <v>55</v>
      </c>
      <c r="D170" s="49" t="str">
        <f t="shared" si="4"/>
        <v>T01: M75 | T02: BMC</v>
      </c>
      <c r="E170" s="49" t="s">
        <v>91</v>
      </c>
      <c r="F170" s="23" t="s">
        <v>41</v>
      </c>
      <c r="G170" s="43">
        <v>109.12698412698411</v>
      </c>
      <c r="H170" s="43"/>
      <c r="I170" s="44">
        <v>44688</v>
      </c>
      <c r="J170" s="44"/>
      <c r="K170" s="44" t="s">
        <v>205</v>
      </c>
      <c r="L170" s="23"/>
    </row>
    <row r="171" spans="1:12">
      <c r="A171" s="23" t="s">
        <v>9</v>
      </c>
      <c r="B171" s="23" t="s">
        <v>113</v>
      </c>
      <c r="C171" s="23" t="s">
        <v>61</v>
      </c>
      <c r="D171" s="49" t="str">
        <f t="shared" si="4"/>
        <v>T01: M75 | T02: XH</v>
      </c>
      <c r="E171" s="49" t="s">
        <v>244</v>
      </c>
      <c r="F171" s="23" t="s">
        <v>41</v>
      </c>
      <c r="G171" s="43">
        <v>208.99470899470899</v>
      </c>
      <c r="H171" s="43"/>
      <c r="I171" s="44">
        <v>44688</v>
      </c>
      <c r="J171" s="44"/>
      <c r="K171" s="44" t="s">
        <v>205</v>
      </c>
      <c r="L171" s="23"/>
    </row>
    <row r="172" spans="1:12">
      <c r="A172" s="23" t="s">
        <v>9</v>
      </c>
      <c r="B172" s="23" t="s">
        <v>113</v>
      </c>
      <c r="C172" s="23" t="s">
        <v>48</v>
      </c>
      <c r="D172" s="49" t="str">
        <f t="shared" si="4"/>
        <v>T01: M75 | T02: XH</v>
      </c>
      <c r="E172" s="49" t="s">
        <v>244</v>
      </c>
      <c r="F172" s="23" t="s">
        <v>41</v>
      </c>
      <c r="G172" s="43">
        <v>208.99470899470899</v>
      </c>
      <c r="H172" s="43"/>
      <c r="I172" s="44">
        <v>44688</v>
      </c>
      <c r="J172" s="44"/>
      <c r="K172" s="44" t="s">
        <v>205</v>
      </c>
      <c r="L172" s="23"/>
    </row>
    <row r="173" spans="1:12">
      <c r="A173" s="23" t="s">
        <v>9</v>
      </c>
      <c r="B173" s="23" t="s">
        <v>113</v>
      </c>
      <c r="C173" s="23" t="s">
        <v>55</v>
      </c>
      <c r="D173" s="49" t="str">
        <f t="shared" si="4"/>
        <v>T01: M75 | T02: XH</v>
      </c>
      <c r="E173" s="49" t="s">
        <v>244</v>
      </c>
      <c r="F173" s="23" t="s">
        <v>41</v>
      </c>
      <c r="G173" s="43">
        <v>104.49735449735449</v>
      </c>
      <c r="H173" s="43"/>
      <c r="I173" s="44">
        <v>44688</v>
      </c>
      <c r="J173" s="44"/>
      <c r="K173" s="44" t="s">
        <v>205</v>
      </c>
      <c r="L173" s="23"/>
    </row>
    <row r="174" spans="1:12">
      <c r="A174" s="23" t="s">
        <v>9</v>
      </c>
      <c r="B174" s="23" t="s">
        <v>129</v>
      </c>
      <c r="C174" s="23" t="s">
        <v>61</v>
      </c>
      <c r="D174" s="49" t="str">
        <f t="shared" si="4"/>
        <v>T01: M75 | T02: BMC</v>
      </c>
      <c r="E174" s="49" t="s">
        <v>91</v>
      </c>
      <c r="F174" s="23" t="s">
        <v>41</v>
      </c>
      <c r="G174" s="43">
        <v>124.67532467532466</v>
      </c>
      <c r="H174" s="43"/>
      <c r="I174" s="44">
        <v>44547</v>
      </c>
      <c r="J174" s="44"/>
      <c r="K174" s="44" t="s">
        <v>205</v>
      </c>
      <c r="L174" s="23"/>
    </row>
    <row r="175" spans="1:12">
      <c r="A175" s="23" t="s">
        <v>9</v>
      </c>
      <c r="B175" s="23" t="s">
        <v>129</v>
      </c>
      <c r="C175" s="23" t="s">
        <v>48</v>
      </c>
      <c r="D175" s="49" t="str">
        <f t="shared" si="4"/>
        <v>T01: M75 | T02: BMC</v>
      </c>
      <c r="E175" s="49" t="s">
        <v>91</v>
      </c>
      <c r="F175" s="23" t="s">
        <v>41</v>
      </c>
      <c r="G175" s="43">
        <v>124.67532467532466</v>
      </c>
      <c r="H175" s="43"/>
      <c r="I175" s="44">
        <v>44547</v>
      </c>
      <c r="J175" s="44"/>
      <c r="K175" s="44" t="s">
        <v>205</v>
      </c>
      <c r="L175" s="23"/>
    </row>
    <row r="176" spans="1:12">
      <c r="A176" s="23" t="s">
        <v>9</v>
      </c>
      <c r="B176" s="23" t="s">
        <v>129</v>
      </c>
      <c r="C176" s="23" t="s">
        <v>55</v>
      </c>
      <c r="D176" s="49" t="str">
        <f t="shared" si="4"/>
        <v>T01: M75 | T02: BMC</v>
      </c>
      <c r="E176" s="49" t="s">
        <v>91</v>
      </c>
      <c r="F176" s="23" t="s">
        <v>41</v>
      </c>
      <c r="G176" s="43">
        <v>62.33766233766233</v>
      </c>
      <c r="H176" s="43"/>
      <c r="I176" s="44">
        <v>44547</v>
      </c>
      <c r="J176" s="44"/>
      <c r="K176" s="44" t="s">
        <v>205</v>
      </c>
      <c r="L176" s="23"/>
    </row>
    <row r="177" spans="1:12">
      <c r="A177" s="23" t="s">
        <v>9</v>
      </c>
      <c r="B177" s="23" t="s">
        <v>129</v>
      </c>
      <c r="C177" s="23" t="s">
        <v>39</v>
      </c>
      <c r="D177" s="49" t="str">
        <f t="shared" si="4"/>
        <v>T01: M75 | T02: BMC</v>
      </c>
      <c r="E177" s="49" t="s">
        <v>91</v>
      </c>
      <c r="F177" s="23" t="s">
        <v>41</v>
      </c>
      <c r="G177" s="43">
        <v>172.72727272727272</v>
      </c>
      <c r="H177" s="43"/>
      <c r="I177" s="44">
        <v>44547</v>
      </c>
      <c r="J177" s="44"/>
      <c r="K177" s="44" t="s">
        <v>205</v>
      </c>
      <c r="L177" s="23"/>
    </row>
    <row r="178" spans="1:12">
      <c r="A178" s="23" t="s">
        <v>9</v>
      </c>
      <c r="B178" s="23" t="s">
        <v>129</v>
      </c>
      <c r="C178" s="23" t="s">
        <v>61</v>
      </c>
      <c r="D178" s="49" t="str">
        <f t="shared" si="4"/>
        <v>T01: M75 | T02: BMC</v>
      </c>
      <c r="E178" s="49" t="s">
        <v>91</v>
      </c>
      <c r="F178" s="23" t="s">
        <v>41</v>
      </c>
      <c r="G178" s="43">
        <v>127.27272727272727</v>
      </c>
      <c r="H178" s="43"/>
      <c r="I178" s="44">
        <v>44548</v>
      </c>
      <c r="J178" s="44"/>
      <c r="K178" s="44" t="s">
        <v>204</v>
      </c>
      <c r="L178" s="23"/>
    </row>
    <row r="179" spans="1:12">
      <c r="A179" s="23" t="s">
        <v>9</v>
      </c>
      <c r="B179" s="23" t="s">
        <v>129</v>
      </c>
      <c r="C179" s="23" t="s">
        <v>48</v>
      </c>
      <c r="D179" s="49" t="str">
        <f t="shared" si="4"/>
        <v>T01: M75 | T02: BMC</v>
      </c>
      <c r="E179" s="49" t="s">
        <v>91</v>
      </c>
      <c r="F179" s="23" t="s">
        <v>41</v>
      </c>
      <c r="G179" s="43">
        <v>127.27272727272727</v>
      </c>
      <c r="H179" s="43"/>
      <c r="I179" s="44">
        <v>44548</v>
      </c>
      <c r="J179" s="44"/>
      <c r="K179" s="44" t="s">
        <v>204</v>
      </c>
      <c r="L179" s="23"/>
    </row>
    <row r="180" spans="1:12">
      <c r="A180" s="23" t="s">
        <v>9</v>
      </c>
      <c r="B180" s="23" t="s">
        <v>129</v>
      </c>
      <c r="C180" s="23" t="s">
        <v>55</v>
      </c>
      <c r="D180" s="49" t="str">
        <f t="shared" si="4"/>
        <v>T01: M75 | T02: BMC</v>
      </c>
      <c r="E180" s="49" t="s">
        <v>91</v>
      </c>
      <c r="F180" s="23" t="s">
        <v>41</v>
      </c>
      <c r="G180" s="43">
        <v>64.935064935064929</v>
      </c>
      <c r="H180" s="43"/>
      <c r="I180" s="44">
        <v>44548</v>
      </c>
      <c r="J180" s="44"/>
      <c r="K180" s="44" t="s">
        <v>204</v>
      </c>
      <c r="L180" s="23"/>
    </row>
    <row r="181" spans="1:12">
      <c r="A181" s="23" t="s">
        <v>9</v>
      </c>
      <c r="B181" s="23" t="s">
        <v>129</v>
      </c>
      <c r="C181" s="23" t="s">
        <v>39</v>
      </c>
      <c r="D181" s="49" t="str">
        <f t="shared" si="4"/>
        <v>T01: M75 | T02: BMC</v>
      </c>
      <c r="E181" s="49" t="s">
        <v>91</v>
      </c>
      <c r="F181" s="23" t="s">
        <v>41</v>
      </c>
      <c r="G181" s="43">
        <v>175.32467532467533</v>
      </c>
      <c r="H181" s="43"/>
      <c r="I181" s="44">
        <v>44548</v>
      </c>
      <c r="J181" s="44"/>
      <c r="K181" s="44" t="s">
        <v>204</v>
      </c>
      <c r="L181" s="23"/>
    </row>
    <row r="182" spans="1:12">
      <c r="A182" s="23" t="s">
        <v>9</v>
      </c>
      <c r="B182" s="23" t="s">
        <v>129</v>
      </c>
      <c r="C182" s="23" t="s">
        <v>61</v>
      </c>
      <c r="D182" s="49" t="str">
        <f t="shared" si="4"/>
        <v>T01: M75 | T02: BMC</v>
      </c>
      <c r="E182" s="49" t="s">
        <v>91</v>
      </c>
      <c r="F182" s="23" t="s">
        <v>41</v>
      </c>
      <c r="G182" s="43">
        <v>124.67532467532466</v>
      </c>
      <c r="H182" s="43"/>
      <c r="I182" s="44">
        <v>44567</v>
      </c>
      <c r="J182" s="44"/>
      <c r="K182" s="44" t="s">
        <v>205</v>
      </c>
      <c r="L182" s="23"/>
    </row>
    <row r="183" spans="1:12">
      <c r="A183" s="23" t="s">
        <v>9</v>
      </c>
      <c r="B183" s="23" t="s">
        <v>129</v>
      </c>
      <c r="C183" s="23" t="s">
        <v>48</v>
      </c>
      <c r="D183" s="49" t="str">
        <f t="shared" si="4"/>
        <v>T01: M75 | T02: BMC</v>
      </c>
      <c r="E183" s="49" t="s">
        <v>91</v>
      </c>
      <c r="F183" s="23" t="s">
        <v>41</v>
      </c>
      <c r="G183" s="43">
        <v>124.67532467532466</v>
      </c>
      <c r="H183" s="43"/>
      <c r="I183" s="44">
        <v>44567</v>
      </c>
      <c r="J183" s="44"/>
      <c r="K183" s="44" t="s">
        <v>205</v>
      </c>
      <c r="L183" s="23"/>
    </row>
    <row r="184" spans="1:12">
      <c r="A184" s="23" t="s">
        <v>9</v>
      </c>
      <c r="B184" s="23" t="s">
        <v>129</v>
      </c>
      <c r="C184" s="23" t="s">
        <v>55</v>
      </c>
      <c r="D184" s="49" t="str">
        <f t="shared" si="4"/>
        <v>T01: M75 | T02: BMC</v>
      </c>
      <c r="E184" s="49" t="s">
        <v>91</v>
      </c>
      <c r="F184" s="23" t="s">
        <v>41</v>
      </c>
      <c r="G184" s="43">
        <v>62.33766233766233</v>
      </c>
      <c r="H184" s="43"/>
      <c r="I184" s="44">
        <v>44567</v>
      </c>
      <c r="J184" s="44"/>
      <c r="K184" s="44" t="s">
        <v>205</v>
      </c>
      <c r="L184" s="23"/>
    </row>
    <row r="185" spans="1:12">
      <c r="A185" s="23" t="s">
        <v>9</v>
      </c>
      <c r="B185" s="23" t="s">
        <v>129</v>
      </c>
      <c r="C185" s="23" t="s">
        <v>39</v>
      </c>
      <c r="D185" s="49" t="str">
        <f t="shared" si="4"/>
        <v>T01: M75 | T02: BMC</v>
      </c>
      <c r="E185" s="49" t="s">
        <v>91</v>
      </c>
      <c r="F185" s="23" t="s">
        <v>41</v>
      </c>
      <c r="G185" s="43">
        <v>172.72727272727272</v>
      </c>
      <c r="H185" s="43"/>
      <c r="I185" s="44">
        <v>44567</v>
      </c>
      <c r="J185" s="44"/>
      <c r="K185" s="44" t="s">
        <v>205</v>
      </c>
      <c r="L185" s="23"/>
    </row>
    <row r="186" spans="1:12">
      <c r="A186" s="23" t="s">
        <v>9</v>
      </c>
      <c r="B186" s="23" t="s">
        <v>129</v>
      </c>
      <c r="C186" s="23" t="s">
        <v>61</v>
      </c>
      <c r="D186" s="49" t="str">
        <f t="shared" si="4"/>
        <v>T01: M75 | T02: TC</v>
      </c>
      <c r="E186" s="49" t="s">
        <v>245</v>
      </c>
      <c r="F186" s="23" t="s">
        <v>41</v>
      </c>
      <c r="G186" s="43">
        <v>122.07792207792207</v>
      </c>
      <c r="H186" s="43"/>
      <c r="I186" s="44">
        <v>44567</v>
      </c>
      <c r="J186" s="44"/>
      <c r="K186" s="44" t="s">
        <v>205</v>
      </c>
      <c r="L186" s="23"/>
    </row>
    <row r="187" spans="1:12">
      <c r="A187" s="23" t="s">
        <v>9</v>
      </c>
      <c r="B187" s="23" t="s">
        <v>129</v>
      </c>
      <c r="C187" s="23" t="s">
        <v>48</v>
      </c>
      <c r="D187" s="49" t="str">
        <f t="shared" si="4"/>
        <v>T01: M75 | T02: TC</v>
      </c>
      <c r="E187" s="49" t="s">
        <v>245</v>
      </c>
      <c r="F187" s="23" t="s">
        <v>41</v>
      </c>
      <c r="G187" s="43">
        <v>122.07792207792207</v>
      </c>
      <c r="H187" s="43"/>
      <c r="I187" s="44">
        <v>44567</v>
      </c>
      <c r="J187" s="44"/>
      <c r="K187" s="44" t="s">
        <v>205</v>
      </c>
      <c r="L187" s="23"/>
    </row>
    <row r="188" spans="1:12">
      <c r="A188" s="23" t="s">
        <v>9</v>
      </c>
      <c r="B188" s="23" t="s">
        <v>129</v>
      </c>
      <c r="C188" s="23" t="s">
        <v>55</v>
      </c>
      <c r="D188" s="49" t="str">
        <f t="shared" si="4"/>
        <v>T01: M75 | T02: TC</v>
      </c>
      <c r="E188" s="49" t="s">
        <v>245</v>
      </c>
      <c r="F188" s="23" t="s">
        <v>41</v>
      </c>
      <c r="G188" s="43">
        <v>61.038961038961034</v>
      </c>
      <c r="H188" s="43"/>
      <c r="I188" s="44">
        <v>44567</v>
      </c>
      <c r="J188" s="44"/>
      <c r="K188" s="44" t="s">
        <v>205</v>
      </c>
      <c r="L188" s="23"/>
    </row>
    <row r="189" spans="1:12">
      <c r="A189" s="23" t="s">
        <v>9</v>
      </c>
      <c r="B189" s="23" t="s">
        <v>129</v>
      </c>
      <c r="C189" s="23" t="s">
        <v>61</v>
      </c>
      <c r="D189" s="49" t="str">
        <f t="shared" si="4"/>
        <v>T01: M75 | T02: BMC</v>
      </c>
      <c r="E189" s="49" t="s">
        <v>91</v>
      </c>
      <c r="F189" s="23" t="s">
        <v>41</v>
      </c>
      <c r="G189" s="43">
        <v>130</v>
      </c>
      <c r="H189" s="43"/>
      <c r="I189" s="44">
        <v>44621</v>
      </c>
      <c r="J189" s="44"/>
      <c r="K189" s="44" t="s">
        <v>205</v>
      </c>
      <c r="L189" s="23"/>
    </row>
    <row r="190" spans="1:12">
      <c r="A190" s="23" t="s">
        <v>9</v>
      </c>
      <c r="B190" s="23" t="s">
        <v>129</v>
      </c>
      <c r="C190" s="23" t="s">
        <v>48</v>
      </c>
      <c r="D190" s="49" t="str">
        <f t="shared" si="4"/>
        <v>T01: M75 | T02: BMC</v>
      </c>
      <c r="E190" s="49" t="s">
        <v>91</v>
      </c>
      <c r="F190" s="23" t="s">
        <v>41</v>
      </c>
      <c r="G190" s="43">
        <v>130</v>
      </c>
      <c r="H190" s="43"/>
      <c r="I190" s="44">
        <v>44621</v>
      </c>
      <c r="J190" s="44"/>
      <c r="K190" s="44" t="s">
        <v>205</v>
      </c>
      <c r="L190" s="23"/>
    </row>
    <row r="191" spans="1:12">
      <c r="A191" s="23" t="s">
        <v>9</v>
      </c>
      <c r="B191" s="23" t="s">
        <v>129</v>
      </c>
      <c r="C191" s="23" t="s">
        <v>55</v>
      </c>
      <c r="D191" s="49" t="str">
        <f t="shared" si="4"/>
        <v>T01: M75 | T02: BMC</v>
      </c>
      <c r="E191" s="49" t="s">
        <v>91</v>
      </c>
      <c r="F191" s="23" t="s">
        <v>41</v>
      </c>
      <c r="G191" s="43">
        <v>66.428571428571431</v>
      </c>
      <c r="H191" s="43"/>
      <c r="I191" s="44">
        <v>44621</v>
      </c>
      <c r="J191" s="44"/>
      <c r="K191" s="44" t="s">
        <v>205</v>
      </c>
      <c r="L191" s="23"/>
    </row>
    <row r="192" spans="1:12">
      <c r="A192" s="23" t="s">
        <v>9</v>
      </c>
      <c r="B192" s="23" t="s">
        <v>129</v>
      </c>
      <c r="C192" s="23" t="s">
        <v>61</v>
      </c>
      <c r="D192" s="49" t="str">
        <f t="shared" si="4"/>
        <v>T01: M75 | T02: XH</v>
      </c>
      <c r="E192" s="49" t="s">
        <v>244</v>
      </c>
      <c r="F192" s="23" t="s">
        <v>41</v>
      </c>
      <c r="G192" s="43">
        <v>135.71428571428572</v>
      </c>
      <c r="H192" s="43"/>
      <c r="I192" s="44">
        <v>44621</v>
      </c>
      <c r="J192" s="44"/>
      <c r="K192" s="44" t="s">
        <v>205</v>
      </c>
      <c r="L192" s="23"/>
    </row>
    <row r="193" spans="1:12">
      <c r="A193" s="23" t="s">
        <v>9</v>
      </c>
      <c r="B193" s="23" t="s">
        <v>129</v>
      </c>
      <c r="C193" s="23" t="s">
        <v>48</v>
      </c>
      <c r="D193" s="49" t="str">
        <f t="shared" si="4"/>
        <v>T01: M75 | T02: XH</v>
      </c>
      <c r="E193" s="49" t="s">
        <v>244</v>
      </c>
      <c r="F193" s="23" t="s">
        <v>41</v>
      </c>
      <c r="G193" s="43">
        <v>135.71428571428572</v>
      </c>
      <c r="H193" s="43"/>
      <c r="I193" s="44">
        <v>44621</v>
      </c>
      <c r="J193" s="44"/>
      <c r="K193" s="44" t="s">
        <v>205</v>
      </c>
      <c r="L193" s="23"/>
    </row>
    <row r="194" spans="1:12">
      <c r="A194" s="23" t="s">
        <v>9</v>
      </c>
      <c r="B194" s="23" t="s">
        <v>129</v>
      </c>
      <c r="C194" s="23" t="s">
        <v>55</v>
      </c>
      <c r="D194" s="49" t="str">
        <f t="shared" si="4"/>
        <v>T01: M75 | T02: XH</v>
      </c>
      <c r="E194" s="49" t="s">
        <v>244</v>
      </c>
      <c r="F194" s="23" t="s">
        <v>41</v>
      </c>
      <c r="G194" s="43">
        <v>69.285714285714292</v>
      </c>
      <c r="H194" s="43"/>
      <c r="I194" s="44">
        <v>44621</v>
      </c>
      <c r="J194" s="44"/>
      <c r="K194" s="44" t="s">
        <v>205</v>
      </c>
      <c r="L194" s="23"/>
    </row>
    <row r="195" spans="1:12">
      <c r="A195" s="23" t="s">
        <v>9</v>
      </c>
      <c r="B195" s="23" t="s">
        <v>129</v>
      </c>
      <c r="C195" s="23" t="s">
        <v>61</v>
      </c>
      <c r="D195" s="49" t="str">
        <f t="shared" si="4"/>
        <v>T01: M75 | T02: TC</v>
      </c>
      <c r="E195" s="49" t="s">
        <v>245</v>
      </c>
      <c r="F195" s="23" t="s">
        <v>41</v>
      </c>
      <c r="G195" s="43">
        <v>130</v>
      </c>
      <c r="H195" s="43"/>
      <c r="I195" s="44">
        <v>44621</v>
      </c>
      <c r="J195" s="44"/>
      <c r="K195" s="44" t="s">
        <v>205</v>
      </c>
      <c r="L195" s="23"/>
    </row>
    <row r="196" spans="1:12">
      <c r="A196" s="23" t="s">
        <v>9</v>
      </c>
      <c r="B196" s="23" t="s">
        <v>129</v>
      </c>
      <c r="C196" s="23" t="s">
        <v>48</v>
      </c>
      <c r="D196" s="49" t="str">
        <f t="shared" si="4"/>
        <v>T01: M75 | T02: TC</v>
      </c>
      <c r="E196" s="49" t="s">
        <v>245</v>
      </c>
      <c r="F196" s="23" t="s">
        <v>41</v>
      </c>
      <c r="G196" s="43">
        <v>130</v>
      </c>
      <c r="H196" s="43"/>
      <c r="I196" s="44">
        <v>44621</v>
      </c>
      <c r="J196" s="44"/>
      <c r="K196" s="44" t="s">
        <v>205</v>
      </c>
      <c r="L196" s="23"/>
    </row>
    <row r="197" spans="1:12">
      <c r="A197" s="23" t="s">
        <v>9</v>
      </c>
      <c r="B197" s="23" t="s">
        <v>129</v>
      </c>
      <c r="C197" s="23" t="s">
        <v>55</v>
      </c>
      <c r="D197" s="49" t="str">
        <f t="shared" si="4"/>
        <v>T01: M75 | T02: TC</v>
      </c>
      <c r="E197" s="49" t="s">
        <v>245</v>
      </c>
      <c r="F197" s="23" t="s">
        <v>41</v>
      </c>
      <c r="G197" s="43">
        <v>66.428571428571431</v>
      </c>
      <c r="H197" s="43"/>
      <c r="I197" s="44">
        <v>44621</v>
      </c>
      <c r="J197" s="44"/>
      <c r="K197" s="44" t="s">
        <v>205</v>
      </c>
      <c r="L197" s="23"/>
    </row>
    <row r="198" spans="1:12">
      <c r="A198" s="23" t="s">
        <v>9</v>
      </c>
      <c r="B198" s="23" t="s">
        <v>123</v>
      </c>
      <c r="C198" s="23" t="s">
        <v>61</v>
      </c>
      <c r="D198" s="49" t="str">
        <f t="shared" si="4"/>
        <v>T01: M75 | T02: TUBD</v>
      </c>
      <c r="E198" s="49" t="s">
        <v>246</v>
      </c>
      <c r="F198" s="23" t="s">
        <v>41</v>
      </c>
      <c r="G198" s="43">
        <v>127.27272727272727</v>
      </c>
      <c r="H198" s="43"/>
      <c r="I198" s="44">
        <v>44540</v>
      </c>
      <c r="J198" s="44"/>
      <c r="K198" s="44" t="s">
        <v>205</v>
      </c>
      <c r="L198" s="23"/>
    </row>
    <row r="199" spans="1:12">
      <c r="A199" s="23" t="s">
        <v>9</v>
      </c>
      <c r="B199" s="23" t="s">
        <v>123</v>
      </c>
      <c r="C199" s="23" t="s">
        <v>48</v>
      </c>
      <c r="D199" s="49" t="str">
        <f t="shared" si="4"/>
        <v>T01: M75 | T02: TUBD</v>
      </c>
      <c r="E199" s="49" t="s">
        <v>246</v>
      </c>
      <c r="F199" s="23" t="s">
        <v>41</v>
      </c>
      <c r="G199" s="43">
        <v>127.27272727272727</v>
      </c>
      <c r="H199" s="43"/>
      <c r="I199" s="44">
        <v>44540</v>
      </c>
      <c r="J199" s="44"/>
      <c r="K199" s="44" t="s">
        <v>205</v>
      </c>
      <c r="L199" s="23"/>
    </row>
    <row r="200" spans="1:12">
      <c r="A200" s="23" t="s">
        <v>9</v>
      </c>
      <c r="B200" s="23" t="s">
        <v>123</v>
      </c>
      <c r="C200" s="23" t="s">
        <v>55</v>
      </c>
      <c r="D200" s="49" t="str">
        <f t="shared" si="4"/>
        <v>T01: M75 | T02: TUBD</v>
      </c>
      <c r="E200" s="49" t="s">
        <v>246</v>
      </c>
      <c r="F200" s="23" t="s">
        <v>41</v>
      </c>
      <c r="G200" s="43">
        <v>63.636363636363633</v>
      </c>
      <c r="H200" s="43"/>
      <c r="I200" s="44">
        <v>44540</v>
      </c>
      <c r="J200" s="44"/>
      <c r="K200" s="44" t="s">
        <v>205</v>
      </c>
      <c r="L200" s="23"/>
    </row>
    <row r="201" spans="1:12">
      <c r="A201" s="23" t="s">
        <v>9</v>
      </c>
      <c r="B201" s="23" t="s">
        <v>123</v>
      </c>
      <c r="C201" s="23" t="s">
        <v>61</v>
      </c>
      <c r="D201" s="49" t="str">
        <f t="shared" si="4"/>
        <v>T01: M75 | T02: DHP</v>
      </c>
      <c r="E201" s="49" t="s">
        <v>247</v>
      </c>
      <c r="F201" s="23" t="s">
        <v>41</v>
      </c>
      <c r="G201" s="43">
        <v>122.07792207792207</v>
      </c>
      <c r="H201" s="43"/>
      <c r="I201" s="44">
        <v>44540</v>
      </c>
      <c r="J201" s="44"/>
      <c r="K201" s="44" t="s">
        <v>205</v>
      </c>
      <c r="L201" s="23"/>
    </row>
    <row r="202" spans="1:12">
      <c r="A202" s="23" t="s">
        <v>9</v>
      </c>
      <c r="B202" s="23" t="s">
        <v>123</v>
      </c>
      <c r="C202" s="23" t="s">
        <v>48</v>
      </c>
      <c r="D202" s="49" t="str">
        <f t="shared" si="4"/>
        <v>T01: M75 | T02: DHP</v>
      </c>
      <c r="E202" s="49" t="s">
        <v>247</v>
      </c>
      <c r="F202" s="23" t="s">
        <v>41</v>
      </c>
      <c r="G202" s="43">
        <v>122.07792207792207</v>
      </c>
      <c r="H202" s="43"/>
      <c r="I202" s="44">
        <v>44540</v>
      </c>
      <c r="J202" s="44"/>
      <c r="K202" s="44" t="s">
        <v>205</v>
      </c>
      <c r="L202" s="23"/>
    </row>
    <row r="203" spans="1:12">
      <c r="A203" s="23" t="s">
        <v>9</v>
      </c>
      <c r="B203" s="23" t="s">
        <v>123</v>
      </c>
      <c r="C203" s="23" t="s">
        <v>55</v>
      </c>
      <c r="D203" s="49" t="str">
        <f t="shared" si="4"/>
        <v>T01: M75 | T02: DHP</v>
      </c>
      <c r="E203" s="49" t="s">
        <v>247</v>
      </c>
      <c r="F203" s="23" t="s">
        <v>41</v>
      </c>
      <c r="G203" s="43">
        <v>67.142857142857139</v>
      </c>
      <c r="H203" s="43"/>
      <c r="I203" s="44">
        <v>44540</v>
      </c>
      <c r="J203" s="44"/>
      <c r="K203" s="44" t="s">
        <v>205</v>
      </c>
      <c r="L203" s="23"/>
    </row>
    <row r="204" spans="1:12">
      <c r="A204" s="23" t="s">
        <v>9</v>
      </c>
      <c r="B204" s="23" t="s">
        <v>123</v>
      </c>
      <c r="C204" s="23" t="s">
        <v>39</v>
      </c>
      <c r="D204" s="49" t="str">
        <f t="shared" si="4"/>
        <v>T01: M75 | T02: DHP</v>
      </c>
      <c r="E204" s="49" t="s">
        <v>247</v>
      </c>
      <c r="F204" s="23" t="s">
        <v>41</v>
      </c>
      <c r="G204" s="43">
        <v>175.32467532467533</v>
      </c>
      <c r="H204" s="43"/>
      <c r="I204" s="44">
        <v>44540</v>
      </c>
      <c r="J204" s="44"/>
      <c r="K204" s="44" t="s">
        <v>205</v>
      </c>
      <c r="L204" s="23"/>
    </row>
    <row r="205" spans="1:12">
      <c r="A205" s="23" t="s">
        <v>9</v>
      </c>
      <c r="B205" s="23" t="s">
        <v>123</v>
      </c>
      <c r="C205" s="23" t="s">
        <v>61</v>
      </c>
      <c r="D205" s="49" t="str">
        <f t="shared" si="4"/>
        <v>T01: M75 | T02: VDN</v>
      </c>
      <c r="E205" s="49" t="s">
        <v>248</v>
      </c>
      <c r="F205" s="23" t="s">
        <v>41</v>
      </c>
      <c r="G205" s="43">
        <v>120.77922077922076</v>
      </c>
      <c r="H205" s="43"/>
      <c r="I205" s="44">
        <v>44540</v>
      </c>
      <c r="J205" s="44"/>
      <c r="K205" s="44" t="s">
        <v>205</v>
      </c>
      <c r="L205" s="23"/>
    </row>
    <row r="206" spans="1:12">
      <c r="A206" s="23" t="s">
        <v>9</v>
      </c>
      <c r="B206" s="23" t="s">
        <v>123</v>
      </c>
      <c r="C206" s="23" t="s">
        <v>48</v>
      </c>
      <c r="D206" s="49" t="str">
        <f t="shared" si="4"/>
        <v>T01: M75 | T02: VDN</v>
      </c>
      <c r="E206" s="49" t="s">
        <v>248</v>
      </c>
      <c r="F206" s="23" t="s">
        <v>41</v>
      </c>
      <c r="G206" s="43">
        <v>120.77922077922076</v>
      </c>
      <c r="H206" s="43"/>
      <c r="I206" s="44">
        <v>44540</v>
      </c>
      <c r="J206" s="44"/>
      <c r="K206" s="44" t="s">
        <v>205</v>
      </c>
      <c r="L206" s="23"/>
    </row>
    <row r="207" spans="1:12">
      <c r="A207" s="23" t="s">
        <v>9</v>
      </c>
      <c r="B207" s="23" t="s">
        <v>123</v>
      </c>
      <c r="C207" s="23" t="s">
        <v>55</v>
      </c>
      <c r="D207" s="49" t="str">
        <f t="shared" si="4"/>
        <v>T01: M75 | T02: VDN</v>
      </c>
      <c r="E207" s="49" t="s">
        <v>248</v>
      </c>
      <c r="F207" s="23" t="s">
        <v>41</v>
      </c>
      <c r="G207" s="43">
        <v>66.36363636363636</v>
      </c>
      <c r="H207" s="43"/>
      <c r="I207" s="44">
        <v>44540</v>
      </c>
      <c r="J207" s="44"/>
      <c r="K207" s="44" t="s">
        <v>205</v>
      </c>
      <c r="L207" s="23"/>
    </row>
    <row r="208" spans="1:12">
      <c r="A208" s="23" t="s">
        <v>9</v>
      </c>
      <c r="B208" s="23" t="s">
        <v>123</v>
      </c>
      <c r="C208" s="23" t="s">
        <v>61</v>
      </c>
      <c r="D208" s="49" t="str">
        <f t="shared" si="4"/>
        <v>T01: M75 | T02: TUBD</v>
      </c>
      <c r="E208" s="49" t="s">
        <v>246</v>
      </c>
      <c r="F208" s="23" t="s">
        <v>41</v>
      </c>
      <c r="G208" s="43">
        <v>122.72727272727272</v>
      </c>
      <c r="H208" s="43"/>
      <c r="I208" s="44">
        <v>44560</v>
      </c>
      <c r="J208" s="44"/>
      <c r="K208" s="44" t="s">
        <v>205</v>
      </c>
      <c r="L208" s="23"/>
    </row>
    <row r="209" spans="1:12">
      <c r="A209" s="23" t="s">
        <v>9</v>
      </c>
      <c r="B209" s="23" t="s">
        <v>123</v>
      </c>
      <c r="C209" s="23" t="s">
        <v>48</v>
      </c>
      <c r="D209" s="49" t="str">
        <f t="shared" si="4"/>
        <v>T01: M75 | T02: TUBD</v>
      </c>
      <c r="E209" s="49" t="s">
        <v>246</v>
      </c>
      <c r="F209" s="23" t="s">
        <v>41</v>
      </c>
      <c r="G209" s="43">
        <v>122.72727272727272</v>
      </c>
      <c r="H209" s="43"/>
      <c r="I209" s="44">
        <v>44560</v>
      </c>
      <c r="J209" s="44"/>
      <c r="K209" s="44" t="s">
        <v>205</v>
      </c>
      <c r="L209" s="23"/>
    </row>
    <row r="210" spans="1:12">
      <c r="A210" s="23" t="s">
        <v>9</v>
      </c>
      <c r="B210" s="23" t="s">
        <v>123</v>
      </c>
      <c r="C210" s="23" t="s">
        <v>55</v>
      </c>
      <c r="D210" s="49" t="str">
        <f t="shared" si="4"/>
        <v>T01: M75 | T02: TUBD</v>
      </c>
      <c r="E210" s="49" t="s">
        <v>246</v>
      </c>
      <c r="F210" s="23" t="s">
        <v>41</v>
      </c>
      <c r="G210" s="43">
        <v>61.298701298701296</v>
      </c>
      <c r="H210" s="43"/>
      <c r="I210" s="44">
        <v>44560</v>
      </c>
      <c r="J210" s="44"/>
      <c r="K210" s="44" t="s">
        <v>205</v>
      </c>
      <c r="L210" s="23"/>
    </row>
    <row r="211" spans="1:12">
      <c r="A211" s="23" t="s">
        <v>9</v>
      </c>
      <c r="B211" s="23" t="s">
        <v>123</v>
      </c>
      <c r="C211" s="23" t="s">
        <v>61</v>
      </c>
      <c r="D211" s="49" t="str">
        <f t="shared" si="4"/>
        <v>T01: M75 | T02: DHP</v>
      </c>
      <c r="E211" s="49" t="s">
        <v>247</v>
      </c>
      <c r="F211" s="23" t="s">
        <v>41</v>
      </c>
      <c r="G211" s="43">
        <v>120.77922077922076</v>
      </c>
      <c r="H211" s="43"/>
      <c r="I211" s="44">
        <v>44560</v>
      </c>
      <c r="J211" s="44"/>
      <c r="K211" s="44" t="s">
        <v>205</v>
      </c>
      <c r="L211" s="23"/>
    </row>
    <row r="212" spans="1:12">
      <c r="A212" s="23" t="s">
        <v>9</v>
      </c>
      <c r="B212" s="23" t="s">
        <v>123</v>
      </c>
      <c r="C212" s="23" t="s">
        <v>48</v>
      </c>
      <c r="D212" s="49" t="str">
        <f t="shared" si="4"/>
        <v>T01: M75 | T02: DHP</v>
      </c>
      <c r="E212" s="49" t="s">
        <v>247</v>
      </c>
      <c r="F212" s="23" t="s">
        <v>41</v>
      </c>
      <c r="G212" s="43">
        <v>120.77922077922076</v>
      </c>
      <c r="H212" s="43"/>
      <c r="I212" s="44">
        <v>44560</v>
      </c>
      <c r="J212" s="44"/>
      <c r="K212" s="44" t="s">
        <v>205</v>
      </c>
      <c r="L212" s="23"/>
    </row>
    <row r="213" spans="1:12">
      <c r="A213" s="23" t="s">
        <v>9</v>
      </c>
      <c r="B213" s="23" t="s">
        <v>123</v>
      </c>
      <c r="C213" s="23" t="s">
        <v>55</v>
      </c>
      <c r="D213" s="49" t="str">
        <f t="shared" si="4"/>
        <v>T01: M75 | T02: DHP</v>
      </c>
      <c r="E213" s="49" t="s">
        <v>247</v>
      </c>
      <c r="F213" s="23" t="s">
        <v>41</v>
      </c>
      <c r="G213" s="43">
        <v>66.36363636363636</v>
      </c>
      <c r="H213" s="43"/>
      <c r="I213" s="44">
        <v>44560</v>
      </c>
      <c r="J213" s="44"/>
      <c r="K213" s="44" t="s">
        <v>205</v>
      </c>
      <c r="L213" s="23"/>
    </row>
    <row r="214" spans="1:12">
      <c r="A214" s="23" t="s">
        <v>9</v>
      </c>
      <c r="B214" s="23" t="s">
        <v>123</v>
      </c>
      <c r="C214" s="23" t="s">
        <v>39</v>
      </c>
      <c r="D214" s="49" t="str">
        <f t="shared" ref="D214:D270" si="5">"T01: M75 | T02: "&amp;E214</f>
        <v>T01: M75 | T02: DHP</v>
      </c>
      <c r="E214" s="49" t="s">
        <v>247</v>
      </c>
      <c r="F214" s="23" t="s">
        <v>41</v>
      </c>
      <c r="G214" s="43">
        <v>170.12987012987011</v>
      </c>
      <c r="H214" s="43"/>
      <c r="I214" s="44">
        <v>44560</v>
      </c>
      <c r="J214" s="44"/>
      <c r="K214" s="44" t="s">
        <v>205</v>
      </c>
      <c r="L214" s="23"/>
    </row>
    <row r="215" spans="1:12">
      <c r="A215" s="23" t="s">
        <v>9</v>
      </c>
      <c r="B215" s="23" t="s">
        <v>123</v>
      </c>
      <c r="C215" s="23" t="s">
        <v>61</v>
      </c>
      <c r="D215" s="49" t="str">
        <f t="shared" si="5"/>
        <v>T01: M75 | T02: VDN</v>
      </c>
      <c r="E215" s="49" t="s">
        <v>248</v>
      </c>
      <c r="F215" s="23" t="s">
        <v>41</v>
      </c>
      <c r="G215" s="43">
        <v>120.77922077922076</v>
      </c>
      <c r="H215" s="43"/>
      <c r="I215" s="44">
        <v>44560</v>
      </c>
      <c r="J215" s="44"/>
      <c r="K215" s="44" t="s">
        <v>205</v>
      </c>
      <c r="L215" s="23"/>
    </row>
    <row r="216" spans="1:12">
      <c r="A216" s="23" t="s">
        <v>9</v>
      </c>
      <c r="B216" s="23" t="s">
        <v>123</v>
      </c>
      <c r="C216" s="23" t="s">
        <v>48</v>
      </c>
      <c r="D216" s="49" t="str">
        <f t="shared" si="5"/>
        <v>T01: M75 | T02: VDN</v>
      </c>
      <c r="E216" s="49" t="s">
        <v>248</v>
      </c>
      <c r="F216" s="23" t="s">
        <v>41</v>
      </c>
      <c r="G216" s="43">
        <v>120.77922077922076</v>
      </c>
      <c r="H216" s="43"/>
      <c r="I216" s="44">
        <v>44560</v>
      </c>
      <c r="J216" s="44"/>
      <c r="K216" s="44" t="s">
        <v>205</v>
      </c>
      <c r="L216" s="23"/>
    </row>
    <row r="217" spans="1:12">
      <c r="A217" s="23" t="s">
        <v>9</v>
      </c>
      <c r="B217" s="23" t="s">
        <v>123</v>
      </c>
      <c r="C217" s="23" t="s">
        <v>55</v>
      </c>
      <c r="D217" s="49" t="str">
        <f t="shared" si="5"/>
        <v>T01: M75 | T02: VDN</v>
      </c>
      <c r="E217" s="49" t="s">
        <v>248</v>
      </c>
      <c r="F217" s="23" t="s">
        <v>41</v>
      </c>
      <c r="G217" s="43">
        <v>66.36363636363636</v>
      </c>
      <c r="H217" s="43"/>
      <c r="I217" s="44">
        <v>44560</v>
      </c>
      <c r="J217" s="44"/>
      <c r="K217" s="44" t="s">
        <v>205</v>
      </c>
      <c r="L217" s="23"/>
    </row>
    <row r="218" spans="1:12">
      <c r="A218" s="23" t="s">
        <v>9</v>
      </c>
      <c r="B218" s="23" t="s">
        <v>123</v>
      </c>
      <c r="C218" s="23" t="s">
        <v>61</v>
      </c>
      <c r="D218" s="49" t="str">
        <f t="shared" si="5"/>
        <v>T01: M75 | T02: TUBD</v>
      </c>
      <c r="E218" s="49" t="s">
        <v>246</v>
      </c>
      <c r="F218" s="23" t="s">
        <v>41</v>
      </c>
      <c r="G218" s="43">
        <v>125.32467532467533</v>
      </c>
      <c r="H218" s="43"/>
      <c r="I218" s="44">
        <v>44603</v>
      </c>
      <c r="J218" s="44"/>
      <c r="K218" s="44" t="s">
        <v>205</v>
      </c>
      <c r="L218" s="23"/>
    </row>
    <row r="219" spans="1:12">
      <c r="A219" s="23" t="s">
        <v>9</v>
      </c>
      <c r="B219" s="23" t="s">
        <v>123</v>
      </c>
      <c r="C219" s="23" t="s">
        <v>48</v>
      </c>
      <c r="D219" s="49" t="str">
        <f t="shared" si="5"/>
        <v>T01: M75 | T02: TUBD</v>
      </c>
      <c r="E219" s="49" t="s">
        <v>246</v>
      </c>
      <c r="F219" s="23" t="s">
        <v>41</v>
      </c>
      <c r="G219" s="43">
        <v>125.32467532467533</v>
      </c>
      <c r="H219" s="43"/>
      <c r="I219" s="44">
        <v>44603</v>
      </c>
      <c r="J219" s="44"/>
      <c r="K219" s="44" t="s">
        <v>205</v>
      </c>
      <c r="L219" s="23"/>
    </row>
    <row r="220" spans="1:12">
      <c r="A220" s="23" t="s">
        <v>9</v>
      </c>
      <c r="B220" s="23" t="s">
        <v>123</v>
      </c>
      <c r="C220" s="23" t="s">
        <v>55</v>
      </c>
      <c r="D220" s="49" t="str">
        <f t="shared" si="5"/>
        <v>T01: M75 | T02: TUBD</v>
      </c>
      <c r="E220" s="49" t="s">
        <v>246</v>
      </c>
      <c r="F220" s="23" t="s">
        <v>41</v>
      </c>
      <c r="G220" s="43">
        <v>63.896103896103895</v>
      </c>
      <c r="H220" s="43"/>
      <c r="I220" s="44">
        <v>44603</v>
      </c>
      <c r="J220" s="44"/>
      <c r="K220" s="44" t="s">
        <v>205</v>
      </c>
      <c r="L220" s="23"/>
    </row>
    <row r="221" spans="1:12">
      <c r="A221" s="23" t="s">
        <v>9</v>
      </c>
      <c r="B221" s="23" t="s">
        <v>123</v>
      </c>
      <c r="C221" s="23" t="s">
        <v>61</v>
      </c>
      <c r="D221" s="49" t="str">
        <f t="shared" si="5"/>
        <v>T01: M75 | T02: DHP</v>
      </c>
      <c r="E221" s="49" t="s">
        <v>247</v>
      </c>
      <c r="F221" s="23" t="s">
        <v>41</v>
      </c>
      <c r="G221" s="43">
        <v>120.77922077922076</v>
      </c>
      <c r="H221" s="43"/>
      <c r="I221" s="44">
        <v>44603</v>
      </c>
      <c r="J221" s="44"/>
      <c r="K221" s="44" t="s">
        <v>205</v>
      </c>
      <c r="L221" s="23"/>
    </row>
    <row r="222" spans="1:12">
      <c r="A222" s="23" t="s">
        <v>9</v>
      </c>
      <c r="B222" s="23" t="s">
        <v>123</v>
      </c>
      <c r="C222" s="23" t="s">
        <v>48</v>
      </c>
      <c r="D222" s="49" t="str">
        <f t="shared" si="5"/>
        <v>T01: M75 | T02: DHP</v>
      </c>
      <c r="E222" s="49" t="s">
        <v>247</v>
      </c>
      <c r="F222" s="23" t="s">
        <v>41</v>
      </c>
      <c r="G222" s="43">
        <v>120.77922077922076</v>
      </c>
      <c r="H222" s="43"/>
      <c r="I222" s="44">
        <v>44603</v>
      </c>
      <c r="J222" s="44"/>
      <c r="K222" s="44" t="s">
        <v>205</v>
      </c>
      <c r="L222" s="23"/>
    </row>
    <row r="223" spans="1:12">
      <c r="A223" s="23" t="s">
        <v>9</v>
      </c>
      <c r="B223" s="23" t="s">
        <v>123</v>
      </c>
      <c r="C223" s="23" t="s">
        <v>55</v>
      </c>
      <c r="D223" s="49" t="str">
        <f t="shared" si="5"/>
        <v>T01: M75 | T02: DHP</v>
      </c>
      <c r="E223" s="49" t="s">
        <v>247</v>
      </c>
      <c r="F223" s="23" t="s">
        <v>41</v>
      </c>
      <c r="G223" s="43">
        <v>66.36363636363636</v>
      </c>
      <c r="H223" s="43"/>
      <c r="I223" s="44">
        <v>44603</v>
      </c>
      <c r="J223" s="44"/>
      <c r="K223" s="44" t="s">
        <v>205</v>
      </c>
      <c r="L223" s="23"/>
    </row>
    <row r="224" spans="1:12">
      <c r="A224" s="23" t="s">
        <v>9</v>
      </c>
      <c r="B224" s="23" t="s">
        <v>123</v>
      </c>
      <c r="C224" s="23" t="s">
        <v>39</v>
      </c>
      <c r="D224" s="49" t="str">
        <f t="shared" si="5"/>
        <v>T01: M75 | T02: DHP</v>
      </c>
      <c r="E224" s="49" t="s">
        <v>247</v>
      </c>
      <c r="F224" s="23" t="s">
        <v>41</v>
      </c>
      <c r="G224" s="43">
        <v>170.12987012987011</v>
      </c>
      <c r="H224" s="43"/>
      <c r="I224" s="44">
        <v>44603</v>
      </c>
      <c r="J224" s="44"/>
      <c r="K224" s="44" t="s">
        <v>205</v>
      </c>
      <c r="L224" s="23"/>
    </row>
    <row r="225" spans="1:12">
      <c r="A225" s="23" t="s">
        <v>9</v>
      </c>
      <c r="B225" s="23" t="s">
        <v>123</v>
      </c>
      <c r="C225" s="23" t="s">
        <v>61</v>
      </c>
      <c r="D225" s="49" t="str">
        <f t="shared" si="5"/>
        <v>T01: M75 | T02: VDN</v>
      </c>
      <c r="E225" s="49" t="s">
        <v>248</v>
      </c>
      <c r="F225" s="23" t="s">
        <v>41</v>
      </c>
      <c r="G225" s="43">
        <v>120.77922077922076</v>
      </c>
      <c r="H225" s="43"/>
      <c r="I225" s="44">
        <v>44603</v>
      </c>
      <c r="J225" s="44"/>
      <c r="K225" s="44" t="s">
        <v>205</v>
      </c>
      <c r="L225" s="23"/>
    </row>
    <row r="226" spans="1:12">
      <c r="A226" s="23" t="s">
        <v>9</v>
      </c>
      <c r="B226" s="23" t="s">
        <v>123</v>
      </c>
      <c r="C226" s="23" t="s">
        <v>48</v>
      </c>
      <c r="D226" s="49" t="str">
        <f t="shared" si="5"/>
        <v>T01: M75 | T02: VDN</v>
      </c>
      <c r="E226" s="49" t="s">
        <v>248</v>
      </c>
      <c r="F226" s="23" t="s">
        <v>41</v>
      </c>
      <c r="G226" s="43">
        <v>120.77922077922076</v>
      </c>
      <c r="H226" s="43"/>
      <c r="I226" s="44">
        <v>44603</v>
      </c>
      <c r="J226" s="44"/>
      <c r="K226" s="44" t="s">
        <v>205</v>
      </c>
      <c r="L226" s="23"/>
    </row>
    <row r="227" spans="1:12">
      <c r="A227" s="23" t="s">
        <v>9</v>
      </c>
      <c r="B227" s="23" t="s">
        <v>123</v>
      </c>
      <c r="C227" s="23" t="s">
        <v>55</v>
      </c>
      <c r="D227" s="49" t="str">
        <f t="shared" si="5"/>
        <v>T01: M75 | T02: VDN</v>
      </c>
      <c r="E227" s="49" t="s">
        <v>248</v>
      </c>
      <c r="F227" s="23" t="s">
        <v>41</v>
      </c>
      <c r="G227" s="43">
        <v>66.36363636363636</v>
      </c>
      <c r="H227" s="43"/>
      <c r="I227" s="44">
        <v>44603</v>
      </c>
      <c r="J227" s="44"/>
      <c r="K227" s="44" t="s">
        <v>205</v>
      </c>
      <c r="L227" s="23"/>
    </row>
    <row r="228" spans="1:12">
      <c r="A228" s="23" t="s">
        <v>9</v>
      </c>
      <c r="B228" s="23" t="s">
        <v>123</v>
      </c>
      <c r="C228" s="23" t="s">
        <v>61</v>
      </c>
      <c r="D228" s="49" t="str">
        <f t="shared" si="5"/>
        <v>T01: M75 | T02: TUBD</v>
      </c>
      <c r="E228" s="49" t="s">
        <v>246</v>
      </c>
      <c r="F228" s="23" t="s">
        <v>41</v>
      </c>
      <c r="G228" s="43">
        <v>122.72727272727272</v>
      </c>
      <c r="H228" s="43"/>
      <c r="I228" s="44">
        <v>44621</v>
      </c>
      <c r="J228" s="44"/>
      <c r="K228" s="44" t="s">
        <v>205</v>
      </c>
      <c r="L228" s="23"/>
    </row>
    <row r="229" spans="1:12">
      <c r="A229" s="23" t="s">
        <v>9</v>
      </c>
      <c r="B229" s="23" t="s">
        <v>123</v>
      </c>
      <c r="C229" s="23" t="s">
        <v>48</v>
      </c>
      <c r="D229" s="49" t="str">
        <f t="shared" si="5"/>
        <v>T01: M75 | T02: TUBD</v>
      </c>
      <c r="E229" s="49" t="s">
        <v>246</v>
      </c>
      <c r="F229" s="23" t="s">
        <v>41</v>
      </c>
      <c r="G229" s="43">
        <v>122.72727272727272</v>
      </c>
      <c r="H229" s="43"/>
      <c r="I229" s="44">
        <v>44621</v>
      </c>
      <c r="J229" s="44"/>
      <c r="K229" s="44" t="s">
        <v>205</v>
      </c>
      <c r="L229" s="23"/>
    </row>
    <row r="230" spans="1:12">
      <c r="A230" s="23" t="s">
        <v>9</v>
      </c>
      <c r="B230" s="23" t="s">
        <v>123</v>
      </c>
      <c r="C230" s="23" t="s">
        <v>55</v>
      </c>
      <c r="D230" s="49" t="str">
        <f t="shared" si="5"/>
        <v>T01: M75 | T02: TUBD</v>
      </c>
      <c r="E230" s="49" t="s">
        <v>246</v>
      </c>
      <c r="F230" s="23" t="s">
        <v>41</v>
      </c>
      <c r="G230" s="43">
        <v>61.298701298701296</v>
      </c>
      <c r="H230" s="43"/>
      <c r="I230" s="44">
        <v>44621</v>
      </c>
      <c r="J230" s="44"/>
      <c r="K230" s="44" t="s">
        <v>205</v>
      </c>
      <c r="L230" s="23"/>
    </row>
    <row r="231" spans="1:12">
      <c r="A231" s="23" t="s">
        <v>9</v>
      </c>
      <c r="B231" s="23" t="s">
        <v>123</v>
      </c>
      <c r="C231" s="23" t="s">
        <v>61</v>
      </c>
      <c r="D231" s="49" t="str">
        <f t="shared" si="5"/>
        <v>T01: M75 | T02: DHP</v>
      </c>
      <c r="E231" s="49" t="s">
        <v>247</v>
      </c>
      <c r="F231" s="23" t="s">
        <v>41</v>
      </c>
      <c r="G231" s="43">
        <v>120.77922077922076</v>
      </c>
      <c r="H231" s="43"/>
      <c r="I231" s="44">
        <v>44621</v>
      </c>
      <c r="J231" s="44"/>
      <c r="K231" s="44" t="s">
        <v>205</v>
      </c>
      <c r="L231" s="23"/>
    </row>
    <row r="232" spans="1:12">
      <c r="A232" s="23" t="s">
        <v>9</v>
      </c>
      <c r="B232" s="23" t="s">
        <v>123</v>
      </c>
      <c r="C232" s="23" t="s">
        <v>48</v>
      </c>
      <c r="D232" s="49" t="str">
        <f t="shared" si="5"/>
        <v>T01: M75 | T02: DHP</v>
      </c>
      <c r="E232" s="49" t="s">
        <v>247</v>
      </c>
      <c r="F232" s="23" t="s">
        <v>41</v>
      </c>
      <c r="G232" s="43">
        <v>120.77922077922076</v>
      </c>
      <c r="H232" s="43"/>
      <c r="I232" s="44">
        <v>44621</v>
      </c>
      <c r="J232" s="44"/>
      <c r="K232" s="44" t="s">
        <v>205</v>
      </c>
      <c r="L232" s="23"/>
    </row>
    <row r="233" spans="1:12">
      <c r="A233" s="23" t="s">
        <v>9</v>
      </c>
      <c r="B233" s="23" t="s">
        <v>123</v>
      </c>
      <c r="C233" s="23" t="s">
        <v>55</v>
      </c>
      <c r="D233" s="49" t="str">
        <f t="shared" si="5"/>
        <v>T01: M75 | T02: DHP</v>
      </c>
      <c r="E233" s="49" t="s">
        <v>247</v>
      </c>
      <c r="F233" s="23" t="s">
        <v>41</v>
      </c>
      <c r="G233" s="43">
        <v>66.36363636363636</v>
      </c>
      <c r="H233" s="43"/>
      <c r="I233" s="44">
        <v>44621</v>
      </c>
      <c r="J233" s="44"/>
      <c r="K233" s="44" t="s">
        <v>205</v>
      </c>
      <c r="L233" s="23"/>
    </row>
    <row r="234" spans="1:12">
      <c r="A234" s="23" t="s">
        <v>9</v>
      </c>
      <c r="B234" s="23" t="s">
        <v>123</v>
      </c>
      <c r="C234" s="23" t="s">
        <v>39</v>
      </c>
      <c r="D234" s="49" t="str">
        <f t="shared" si="5"/>
        <v>T01: M75 | T02: DHP</v>
      </c>
      <c r="E234" s="49" t="s">
        <v>247</v>
      </c>
      <c r="F234" s="23" t="s">
        <v>41</v>
      </c>
      <c r="G234" s="43">
        <v>170.12987012987011</v>
      </c>
      <c r="H234" s="43"/>
      <c r="I234" s="44">
        <v>44621</v>
      </c>
      <c r="J234" s="44"/>
      <c r="K234" s="44" t="s">
        <v>205</v>
      </c>
      <c r="L234" s="23"/>
    </row>
    <row r="235" spans="1:12">
      <c r="A235" s="23" t="s">
        <v>9</v>
      </c>
      <c r="B235" s="23" t="s">
        <v>123</v>
      </c>
      <c r="C235" s="23" t="s">
        <v>61</v>
      </c>
      <c r="D235" s="49" t="str">
        <f t="shared" si="5"/>
        <v>T01: M75 | T02: VDN</v>
      </c>
      <c r="E235" s="49" t="s">
        <v>248</v>
      </c>
      <c r="F235" s="23" t="s">
        <v>41</v>
      </c>
      <c r="G235" s="43">
        <v>120.77922077922076</v>
      </c>
      <c r="H235" s="43"/>
      <c r="I235" s="44">
        <v>44621</v>
      </c>
      <c r="J235" s="44"/>
      <c r="K235" s="44" t="s">
        <v>205</v>
      </c>
      <c r="L235" s="23"/>
    </row>
    <row r="236" spans="1:12">
      <c r="A236" s="23" t="s">
        <v>9</v>
      </c>
      <c r="B236" s="23" t="s">
        <v>123</v>
      </c>
      <c r="C236" s="23" t="s">
        <v>48</v>
      </c>
      <c r="D236" s="49" t="str">
        <f t="shared" si="5"/>
        <v>T01: M75 | T02: VDN</v>
      </c>
      <c r="E236" s="49" t="s">
        <v>248</v>
      </c>
      <c r="F236" s="23" t="s">
        <v>41</v>
      </c>
      <c r="G236" s="43">
        <v>120.77922077922076</v>
      </c>
      <c r="H236" s="43"/>
      <c r="I236" s="44">
        <v>44621</v>
      </c>
      <c r="J236" s="44"/>
      <c r="K236" s="44" t="s">
        <v>205</v>
      </c>
      <c r="L236" s="23"/>
    </row>
    <row r="237" spans="1:12">
      <c r="A237" s="23" t="s">
        <v>9</v>
      </c>
      <c r="B237" s="23" t="s">
        <v>123</v>
      </c>
      <c r="C237" s="23" t="s">
        <v>55</v>
      </c>
      <c r="D237" s="49" t="str">
        <f t="shared" si="5"/>
        <v>T01: M75 | T02: VDN</v>
      </c>
      <c r="E237" s="49" t="s">
        <v>248</v>
      </c>
      <c r="F237" s="23" t="s">
        <v>41</v>
      </c>
      <c r="G237" s="43">
        <v>66.36363636363636</v>
      </c>
      <c r="H237" s="43"/>
      <c r="I237" s="44">
        <v>44621</v>
      </c>
      <c r="J237" s="44"/>
      <c r="K237" s="44" t="s">
        <v>205</v>
      </c>
      <c r="L237" s="23"/>
    </row>
    <row r="238" spans="1:12">
      <c r="A238" s="23" t="s">
        <v>9</v>
      </c>
      <c r="B238" s="23" t="s">
        <v>123</v>
      </c>
      <c r="C238" s="23" t="s">
        <v>61</v>
      </c>
      <c r="D238" s="49" t="str">
        <f t="shared" si="5"/>
        <v>T01: M75 | T02: BMC</v>
      </c>
      <c r="E238" s="49" t="s">
        <v>91</v>
      </c>
      <c r="F238" s="23" t="s">
        <v>41</v>
      </c>
      <c r="G238" s="43">
        <v>127.27272727272727</v>
      </c>
      <c r="H238" s="43"/>
      <c r="I238" s="44">
        <v>44621</v>
      </c>
      <c r="J238" s="44"/>
      <c r="K238" s="44" t="s">
        <v>205</v>
      </c>
      <c r="L238" s="23"/>
    </row>
    <row r="239" spans="1:12">
      <c r="A239" s="23" t="s">
        <v>9</v>
      </c>
      <c r="B239" s="23" t="s">
        <v>123</v>
      </c>
      <c r="C239" s="23" t="s">
        <v>48</v>
      </c>
      <c r="D239" s="49" t="str">
        <f t="shared" si="5"/>
        <v>T01: M75 | T02: BMC</v>
      </c>
      <c r="E239" s="49" t="s">
        <v>91</v>
      </c>
      <c r="F239" s="23" t="s">
        <v>41</v>
      </c>
      <c r="G239" s="43">
        <v>127.27272727272727</v>
      </c>
      <c r="H239" s="43"/>
      <c r="I239" s="44">
        <v>44621</v>
      </c>
      <c r="J239" s="44"/>
      <c r="K239" s="44" t="s">
        <v>205</v>
      </c>
      <c r="L239" s="23"/>
    </row>
    <row r="240" spans="1:12">
      <c r="A240" s="23" t="s">
        <v>9</v>
      </c>
      <c r="B240" s="23" t="s">
        <v>123</v>
      </c>
      <c r="C240" s="23" t="s">
        <v>55</v>
      </c>
      <c r="D240" s="49" t="str">
        <f t="shared" si="5"/>
        <v>T01: M75 | T02: BMC</v>
      </c>
      <c r="E240" s="49" t="s">
        <v>91</v>
      </c>
      <c r="F240" s="23" t="s">
        <v>41</v>
      </c>
      <c r="G240" s="43">
        <v>63.636363636363633</v>
      </c>
      <c r="H240" s="43"/>
      <c r="I240" s="44">
        <v>44621</v>
      </c>
      <c r="J240" s="44"/>
      <c r="K240" s="44" t="s">
        <v>205</v>
      </c>
      <c r="L240" s="23"/>
    </row>
    <row r="241" spans="1:12">
      <c r="A241" s="23" t="s">
        <v>9</v>
      </c>
      <c r="B241" s="23" t="s">
        <v>123</v>
      </c>
      <c r="C241" s="23" t="s">
        <v>61</v>
      </c>
      <c r="D241" s="49" t="str">
        <f t="shared" si="5"/>
        <v>T01: M75 | T02: TUBD</v>
      </c>
      <c r="E241" s="49" t="s">
        <v>246</v>
      </c>
      <c r="F241" s="23" t="s">
        <v>41</v>
      </c>
      <c r="G241" s="43">
        <v>138.22751322751321</v>
      </c>
      <c r="H241" s="43"/>
      <c r="I241" s="44">
        <v>44656</v>
      </c>
      <c r="J241" s="44"/>
      <c r="K241" s="44" t="s">
        <v>205</v>
      </c>
      <c r="L241" s="23"/>
    </row>
    <row r="242" spans="1:12">
      <c r="A242" s="23" t="s">
        <v>9</v>
      </c>
      <c r="B242" s="23" t="s">
        <v>123</v>
      </c>
      <c r="C242" s="23" t="s">
        <v>48</v>
      </c>
      <c r="D242" s="49" t="str">
        <f t="shared" si="5"/>
        <v>T01: M75 | T02: TUBD</v>
      </c>
      <c r="E242" s="49" t="s">
        <v>246</v>
      </c>
      <c r="F242" s="23" t="s">
        <v>41</v>
      </c>
      <c r="G242" s="43">
        <v>138.22751322751321</v>
      </c>
      <c r="H242" s="43"/>
      <c r="I242" s="44">
        <v>44656</v>
      </c>
      <c r="J242" s="44"/>
      <c r="K242" s="44" t="s">
        <v>205</v>
      </c>
      <c r="L242" s="23"/>
    </row>
    <row r="243" spans="1:12">
      <c r="A243" s="23" t="s">
        <v>9</v>
      </c>
      <c r="B243" s="23" t="s">
        <v>123</v>
      </c>
      <c r="C243" s="23" t="s">
        <v>55</v>
      </c>
      <c r="D243" s="49" t="str">
        <f t="shared" si="5"/>
        <v>T01: M75 | T02: TUBD</v>
      </c>
      <c r="E243" s="49" t="s">
        <v>246</v>
      </c>
      <c r="F243" s="23" t="s">
        <v>41</v>
      </c>
      <c r="G243" s="43">
        <v>69.179894179894177</v>
      </c>
      <c r="H243" s="43"/>
      <c r="I243" s="44">
        <v>44656</v>
      </c>
      <c r="J243" s="44"/>
      <c r="K243" s="44" t="s">
        <v>205</v>
      </c>
      <c r="L243" s="23"/>
    </row>
    <row r="244" spans="1:12">
      <c r="A244" s="23" t="s">
        <v>9</v>
      </c>
      <c r="B244" s="23" t="s">
        <v>123</v>
      </c>
      <c r="C244" s="23" t="s">
        <v>61</v>
      </c>
      <c r="D244" s="49" t="str">
        <f t="shared" si="5"/>
        <v>T01: M75 | T02: DHP</v>
      </c>
      <c r="E244" s="49" t="s">
        <v>247</v>
      </c>
      <c r="F244" s="23" t="s">
        <v>41</v>
      </c>
      <c r="G244" s="43">
        <v>135.58201058201058</v>
      </c>
      <c r="H244" s="43"/>
      <c r="I244" s="44">
        <v>44656</v>
      </c>
      <c r="J244" s="44"/>
      <c r="K244" s="44" t="s">
        <v>205</v>
      </c>
      <c r="L244" s="23"/>
    </row>
    <row r="245" spans="1:12">
      <c r="A245" s="23" t="s">
        <v>9</v>
      </c>
      <c r="B245" s="23" t="s">
        <v>123</v>
      </c>
      <c r="C245" s="23" t="s">
        <v>48</v>
      </c>
      <c r="D245" s="49" t="str">
        <f t="shared" si="5"/>
        <v>T01: M75 | T02: DHP</v>
      </c>
      <c r="E245" s="49" t="s">
        <v>247</v>
      </c>
      <c r="F245" s="23" t="s">
        <v>41</v>
      </c>
      <c r="G245" s="43">
        <v>135.58201058201058</v>
      </c>
      <c r="H245" s="43"/>
      <c r="I245" s="44">
        <v>44656</v>
      </c>
      <c r="J245" s="44"/>
      <c r="K245" s="44" t="s">
        <v>205</v>
      </c>
      <c r="L245" s="23"/>
    </row>
    <row r="246" spans="1:12">
      <c r="A246" s="23" t="s">
        <v>9</v>
      </c>
      <c r="B246" s="23" t="s">
        <v>123</v>
      </c>
      <c r="C246" s="23" t="s">
        <v>55</v>
      </c>
      <c r="D246" s="49" t="str">
        <f t="shared" si="5"/>
        <v>T01: M75 | T02: DHP</v>
      </c>
      <c r="E246" s="49" t="s">
        <v>247</v>
      </c>
      <c r="F246" s="23" t="s">
        <v>41</v>
      </c>
      <c r="G246" s="43">
        <v>81.349206349206355</v>
      </c>
      <c r="H246" s="43"/>
      <c r="I246" s="44">
        <v>44656</v>
      </c>
      <c r="J246" s="44"/>
      <c r="K246" s="44" t="s">
        <v>205</v>
      </c>
      <c r="L246" s="23"/>
    </row>
    <row r="247" spans="1:12">
      <c r="A247" s="23" t="s">
        <v>9</v>
      </c>
      <c r="B247" s="23" t="s">
        <v>123</v>
      </c>
      <c r="C247" s="23" t="s">
        <v>61</v>
      </c>
      <c r="D247" s="49" t="str">
        <f t="shared" si="5"/>
        <v>T01: M75 | T02: VDN</v>
      </c>
      <c r="E247" s="49" t="s">
        <v>248</v>
      </c>
      <c r="F247" s="23" t="s">
        <v>41</v>
      </c>
      <c r="G247" s="43">
        <v>138.22751322751321</v>
      </c>
      <c r="H247" s="43"/>
      <c r="I247" s="44">
        <v>44656</v>
      </c>
      <c r="J247" s="44"/>
      <c r="K247" s="44" t="s">
        <v>205</v>
      </c>
      <c r="L247" s="23"/>
    </row>
    <row r="248" spans="1:12">
      <c r="A248" s="23" t="s">
        <v>9</v>
      </c>
      <c r="B248" s="23" t="s">
        <v>123</v>
      </c>
      <c r="C248" s="23" t="s">
        <v>48</v>
      </c>
      <c r="D248" s="49" t="str">
        <f t="shared" si="5"/>
        <v>T01: M75 | T02: VDN</v>
      </c>
      <c r="E248" s="49" t="s">
        <v>248</v>
      </c>
      <c r="F248" s="23" t="s">
        <v>41</v>
      </c>
      <c r="G248" s="43">
        <v>138.22751322751321</v>
      </c>
      <c r="H248" s="43"/>
      <c r="I248" s="44">
        <v>44656</v>
      </c>
      <c r="J248" s="44"/>
      <c r="K248" s="44" t="s">
        <v>205</v>
      </c>
      <c r="L248" s="23"/>
    </row>
    <row r="249" spans="1:12">
      <c r="A249" s="23" t="s">
        <v>9</v>
      </c>
      <c r="B249" s="23" t="s">
        <v>123</v>
      </c>
      <c r="C249" s="23" t="s">
        <v>55</v>
      </c>
      <c r="D249" s="49" t="str">
        <f t="shared" si="5"/>
        <v>T01: M75 | T02: VDN</v>
      </c>
      <c r="E249" s="49" t="s">
        <v>248</v>
      </c>
      <c r="F249" s="23" t="s">
        <v>41</v>
      </c>
      <c r="G249" s="43">
        <v>82.936507936507937</v>
      </c>
      <c r="H249" s="43"/>
      <c r="I249" s="44">
        <v>44656</v>
      </c>
      <c r="J249" s="44"/>
      <c r="K249" s="44" t="s">
        <v>205</v>
      </c>
      <c r="L249" s="23"/>
    </row>
    <row r="250" spans="1:12">
      <c r="A250" s="23" t="s">
        <v>9</v>
      </c>
      <c r="B250" s="23" t="s">
        <v>123</v>
      </c>
      <c r="C250" s="23" t="s">
        <v>61</v>
      </c>
      <c r="D250" s="49" t="str">
        <f t="shared" si="5"/>
        <v>T01: M75 | T02: BMC</v>
      </c>
      <c r="E250" s="49" t="s">
        <v>91</v>
      </c>
      <c r="F250" s="23" t="s">
        <v>41</v>
      </c>
      <c r="G250" s="43">
        <v>143.5185185185185</v>
      </c>
      <c r="H250" s="43"/>
      <c r="I250" s="44">
        <v>44656</v>
      </c>
      <c r="J250" s="44"/>
      <c r="K250" s="44" t="s">
        <v>205</v>
      </c>
      <c r="L250" s="23"/>
    </row>
    <row r="251" spans="1:12">
      <c r="A251" s="23" t="s">
        <v>9</v>
      </c>
      <c r="B251" s="23" t="s">
        <v>123</v>
      </c>
      <c r="C251" s="23" t="s">
        <v>48</v>
      </c>
      <c r="D251" s="49" t="str">
        <f t="shared" si="5"/>
        <v>T01: M75 | T02: BMC</v>
      </c>
      <c r="E251" s="49" t="s">
        <v>91</v>
      </c>
      <c r="F251" s="23" t="s">
        <v>41</v>
      </c>
      <c r="G251" s="43">
        <v>143.5185185185185</v>
      </c>
      <c r="H251" s="43"/>
      <c r="I251" s="44">
        <v>44656</v>
      </c>
      <c r="J251" s="44"/>
      <c r="K251" s="44" t="s">
        <v>205</v>
      </c>
      <c r="L251" s="23"/>
    </row>
    <row r="252" spans="1:12">
      <c r="A252" s="23" t="s">
        <v>9</v>
      </c>
      <c r="B252" s="23" t="s">
        <v>123</v>
      </c>
      <c r="C252" s="23" t="s">
        <v>55</v>
      </c>
      <c r="D252" s="49" t="str">
        <f t="shared" si="5"/>
        <v>T01: M75 | T02: BMC</v>
      </c>
      <c r="E252" s="49" t="s">
        <v>91</v>
      </c>
      <c r="F252" s="23" t="s">
        <v>41</v>
      </c>
      <c r="G252" s="43">
        <v>78.968253968253961</v>
      </c>
      <c r="H252" s="43"/>
      <c r="I252" s="44">
        <v>44656</v>
      </c>
      <c r="J252" s="44"/>
      <c r="K252" s="44" t="s">
        <v>205</v>
      </c>
      <c r="L252" s="23"/>
    </row>
    <row r="253" spans="1:12">
      <c r="A253" s="23" t="s">
        <v>9</v>
      </c>
      <c r="B253" s="23" t="s">
        <v>123</v>
      </c>
      <c r="C253" s="23" t="s">
        <v>61</v>
      </c>
      <c r="D253" s="49" t="str">
        <f t="shared" si="5"/>
        <v>T01: M75 | T02: XH</v>
      </c>
      <c r="E253" s="49" t="s">
        <v>244</v>
      </c>
      <c r="F253" s="23" t="s">
        <v>41</v>
      </c>
      <c r="G253" s="43">
        <v>144.17989417989418</v>
      </c>
      <c r="H253" s="43"/>
      <c r="I253" s="44">
        <v>44656</v>
      </c>
      <c r="J253" s="44"/>
      <c r="K253" s="44" t="s">
        <v>205</v>
      </c>
      <c r="L253" s="23"/>
    </row>
    <row r="254" spans="1:12">
      <c r="A254" s="23" t="s">
        <v>9</v>
      </c>
      <c r="B254" s="23" t="s">
        <v>123</v>
      </c>
      <c r="C254" s="23" t="s">
        <v>48</v>
      </c>
      <c r="D254" s="49" t="str">
        <f t="shared" si="5"/>
        <v>T01: M75 | T02: XH</v>
      </c>
      <c r="E254" s="49" t="s">
        <v>244</v>
      </c>
      <c r="F254" s="23" t="s">
        <v>41</v>
      </c>
      <c r="G254" s="43">
        <v>144.17989417989418</v>
      </c>
      <c r="H254" s="43"/>
      <c r="I254" s="44">
        <v>44656</v>
      </c>
      <c r="J254" s="44"/>
      <c r="K254" s="44" t="s">
        <v>205</v>
      </c>
      <c r="L254" s="23"/>
    </row>
    <row r="255" spans="1:12">
      <c r="A255" s="23" t="s">
        <v>9</v>
      </c>
      <c r="B255" s="23" t="s">
        <v>123</v>
      </c>
      <c r="C255" s="23" t="s">
        <v>55</v>
      </c>
      <c r="D255" s="49" t="str">
        <f t="shared" si="5"/>
        <v>T01: M75 | T02: XH</v>
      </c>
      <c r="E255" s="49" t="s">
        <v>244</v>
      </c>
      <c r="F255" s="23" t="s">
        <v>41</v>
      </c>
      <c r="G255" s="43">
        <v>79.365079365079367</v>
      </c>
      <c r="H255" s="43"/>
      <c r="I255" s="44">
        <v>44656</v>
      </c>
      <c r="J255" s="44"/>
      <c r="K255" s="44" t="s">
        <v>205</v>
      </c>
      <c r="L255" s="23"/>
    </row>
    <row r="256" spans="1:12">
      <c r="A256" s="23" t="s">
        <v>9</v>
      </c>
      <c r="B256" s="23" t="s">
        <v>123</v>
      </c>
      <c r="C256" s="23" t="s">
        <v>61</v>
      </c>
      <c r="D256" s="49" t="str">
        <f t="shared" si="5"/>
        <v>T01: M75 | T02: BMC</v>
      </c>
      <c r="E256" s="49" t="s">
        <v>91</v>
      </c>
      <c r="F256" s="23" t="s">
        <v>41</v>
      </c>
      <c r="G256" s="43">
        <v>154.71428571428572</v>
      </c>
      <c r="H256" s="43"/>
      <c r="I256" s="44">
        <v>44679</v>
      </c>
      <c r="J256" s="44"/>
      <c r="K256" s="44" t="s">
        <v>205</v>
      </c>
      <c r="L256" s="23"/>
    </row>
    <row r="257" spans="1:12">
      <c r="A257" s="23" t="s">
        <v>9</v>
      </c>
      <c r="B257" s="23" t="s">
        <v>123</v>
      </c>
      <c r="C257" s="23" t="s">
        <v>48</v>
      </c>
      <c r="D257" s="49" t="str">
        <f t="shared" si="5"/>
        <v>T01: M75 | T02: BMC</v>
      </c>
      <c r="E257" s="49" t="s">
        <v>91</v>
      </c>
      <c r="F257" s="23" t="s">
        <v>41</v>
      </c>
      <c r="G257" s="43">
        <v>154.71428571428572</v>
      </c>
      <c r="H257" s="43"/>
      <c r="I257" s="44">
        <v>44679</v>
      </c>
      <c r="J257" s="44"/>
      <c r="K257" s="44" t="s">
        <v>205</v>
      </c>
      <c r="L257" s="23"/>
    </row>
    <row r="258" spans="1:12">
      <c r="A258" s="23" t="s">
        <v>9</v>
      </c>
      <c r="B258" s="23" t="s">
        <v>123</v>
      </c>
      <c r="C258" s="23" t="s">
        <v>61</v>
      </c>
      <c r="D258" s="49" t="str">
        <f t="shared" si="5"/>
        <v>T01: M75 | T02: LTH</v>
      </c>
      <c r="E258" s="49" t="s">
        <v>282</v>
      </c>
      <c r="F258" s="23" t="s">
        <v>41</v>
      </c>
      <c r="G258" s="43">
        <v>152.14285714285714</v>
      </c>
      <c r="H258" s="43"/>
      <c r="I258" s="44">
        <v>44679</v>
      </c>
      <c r="J258" s="44"/>
      <c r="K258" s="44" t="s">
        <v>205</v>
      </c>
      <c r="L258" s="23"/>
    </row>
    <row r="259" spans="1:12">
      <c r="A259" s="23" t="s">
        <v>9</v>
      </c>
      <c r="B259" s="23" t="s">
        <v>123</v>
      </c>
      <c r="C259" s="23" t="s">
        <v>48</v>
      </c>
      <c r="D259" s="49" t="str">
        <f t="shared" si="5"/>
        <v>T01: M75 | T02: LTH</v>
      </c>
      <c r="E259" s="49" t="s">
        <v>282</v>
      </c>
      <c r="F259" s="23" t="s">
        <v>41</v>
      </c>
      <c r="G259" s="43">
        <v>152.14285714285714</v>
      </c>
      <c r="H259" s="43"/>
      <c r="I259" s="44">
        <v>44679</v>
      </c>
      <c r="J259" s="44"/>
      <c r="K259" s="44" t="s">
        <v>205</v>
      </c>
      <c r="L259" s="23"/>
    </row>
    <row r="260" spans="1:12">
      <c r="A260" s="23" t="s">
        <v>9</v>
      </c>
      <c r="B260" s="23" t="s">
        <v>123</v>
      </c>
      <c r="C260" s="23" t="s">
        <v>55</v>
      </c>
      <c r="D260" s="49" t="str">
        <f t="shared" si="5"/>
        <v>T01: M75 | T02: LTH</v>
      </c>
      <c r="E260" s="49" t="s">
        <v>282</v>
      </c>
      <c r="F260" s="23" t="s">
        <v>41</v>
      </c>
      <c r="G260" s="43">
        <v>76.071428571428569</v>
      </c>
      <c r="H260" s="43"/>
      <c r="I260" s="44">
        <v>44679</v>
      </c>
      <c r="J260" s="44"/>
      <c r="K260" s="44" t="s">
        <v>205</v>
      </c>
      <c r="L260" s="23"/>
    </row>
    <row r="261" spans="1:12">
      <c r="A261" s="23" t="s">
        <v>9</v>
      </c>
      <c r="B261" s="23" t="s">
        <v>123</v>
      </c>
      <c r="C261" s="23" t="s">
        <v>61</v>
      </c>
      <c r="D261" s="49" t="str">
        <f t="shared" si="5"/>
        <v>T01: M75 | T02: BMC</v>
      </c>
      <c r="E261" s="49" t="s">
        <v>91</v>
      </c>
      <c r="F261" s="23" t="s">
        <v>41</v>
      </c>
      <c r="G261" s="43">
        <v>168</v>
      </c>
      <c r="H261" s="43"/>
      <c r="I261" s="44">
        <v>44685</v>
      </c>
      <c r="J261" s="44"/>
      <c r="K261" s="44" t="s">
        <v>205</v>
      </c>
      <c r="L261" s="23"/>
    </row>
    <row r="262" spans="1:12">
      <c r="A262" s="23" t="s">
        <v>9</v>
      </c>
      <c r="B262" s="23" t="s">
        <v>123</v>
      </c>
      <c r="C262" s="23" t="s">
        <v>48</v>
      </c>
      <c r="D262" s="49" t="str">
        <f t="shared" si="5"/>
        <v>T01: M75 | T02: BMC</v>
      </c>
      <c r="E262" s="49" t="s">
        <v>91</v>
      </c>
      <c r="F262" s="23" t="s">
        <v>41</v>
      </c>
      <c r="G262" s="43">
        <v>168</v>
      </c>
      <c r="H262" s="43"/>
      <c r="I262" s="44">
        <v>44685</v>
      </c>
      <c r="J262" s="44"/>
      <c r="K262" s="44" t="s">
        <v>205</v>
      </c>
      <c r="L262" s="23"/>
    </row>
    <row r="263" spans="1:12">
      <c r="A263" s="23" t="s">
        <v>9</v>
      </c>
      <c r="B263" s="23" t="s">
        <v>123</v>
      </c>
      <c r="C263" s="23" t="s">
        <v>61</v>
      </c>
      <c r="D263" s="49" t="str">
        <f t="shared" si="5"/>
        <v>T01: M75 | T02: LTH</v>
      </c>
      <c r="E263" s="49" t="s">
        <v>282</v>
      </c>
      <c r="F263" s="23" t="s">
        <v>41</v>
      </c>
      <c r="G263" s="43">
        <v>155.68783068783068</v>
      </c>
      <c r="H263" s="43"/>
      <c r="I263" s="44">
        <v>44685</v>
      </c>
      <c r="J263" s="44"/>
      <c r="K263" s="44" t="s">
        <v>205</v>
      </c>
      <c r="L263" s="23"/>
    </row>
    <row r="264" spans="1:12">
      <c r="A264" s="23" t="s">
        <v>9</v>
      </c>
      <c r="B264" s="23" t="s">
        <v>123</v>
      </c>
      <c r="C264" s="23" t="s">
        <v>48</v>
      </c>
      <c r="D264" s="49" t="str">
        <f t="shared" si="5"/>
        <v>T01: M75 | T02: LTH</v>
      </c>
      <c r="E264" s="49" t="s">
        <v>282</v>
      </c>
      <c r="F264" s="23" t="s">
        <v>41</v>
      </c>
      <c r="G264" s="43">
        <v>155.68783068783068</v>
      </c>
      <c r="H264" s="43"/>
      <c r="I264" s="44">
        <v>44685</v>
      </c>
      <c r="J264" s="44"/>
      <c r="K264" s="44" t="s">
        <v>205</v>
      </c>
      <c r="L264" s="23"/>
    </row>
    <row r="265" spans="1:12">
      <c r="A265" s="23" t="s">
        <v>9</v>
      </c>
      <c r="B265" s="23" t="s">
        <v>123</v>
      </c>
      <c r="C265" s="23" t="s">
        <v>55</v>
      </c>
      <c r="D265" s="49" t="str">
        <f t="shared" si="5"/>
        <v>T01: M75 | T02: LTH</v>
      </c>
      <c r="E265" s="49" t="s">
        <v>282</v>
      </c>
      <c r="F265" s="23" t="s">
        <v>41</v>
      </c>
      <c r="G265" s="43">
        <v>77.910052910052897</v>
      </c>
      <c r="H265" s="43"/>
      <c r="I265" s="44">
        <v>44685</v>
      </c>
      <c r="J265" s="44"/>
      <c r="K265" s="44" t="s">
        <v>205</v>
      </c>
      <c r="L265" s="23"/>
    </row>
    <row r="266" spans="1:12">
      <c r="A266" s="23" t="s">
        <v>9</v>
      </c>
      <c r="B266" s="23" t="s">
        <v>123</v>
      </c>
      <c r="C266" s="23" t="s">
        <v>61</v>
      </c>
      <c r="D266" s="49" t="str">
        <f t="shared" si="5"/>
        <v>T01: M75 | T02: BMC</v>
      </c>
      <c r="E266" s="49" t="s">
        <v>91</v>
      </c>
      <c r="F266" s="23" t="s">
        <v>41</v>
      </c>
      <c r="G266" s="43">
        <v>219.57142857142858</v>
      </c>
      <c r="H266" s="43"/>
      <c r="I266" s="44">
        <v>44688</v>
      </c>
      <c r="J266" s="44"/>
      <c r="K266" s="44" t="s">
        <v>205</v>
      </c>
      <c r="L266" s="23"/>
    </row>
    <row r="267" spans="1:12">
      <c r="A267" s="23" t="s">
        <v>9</v>
      </c>
      <c r="B267" s="23" t="s">
        <v>123</v>
      </c>
      <c r="C267" s="23" t="s">
        <v>48</v>
      </c>
      <c r="D267" s="49" t="str">
        <f t="shared" si="5"/>
        <v>T01: M75 | T02: BMC</v>
      </c>
      <c r="E267" s="49" t="s">
        <v>91</v>
      </c>
      <c r="F267" s="23" t="s">
        <v>41</v>
      </c>
      <c r="G267" s="43">
        <v>219.57142857142858</v>
      </c>
      <c r="H267" s="43"/>
      <c r="I267" s="44">
        <v>44688</v>
      </c>
      <c r="J267" s="44"/>
      <c r="K267" s="44" t="s">
        <v>205</v>
      </c>
      <c r="L267" s="23"/>
    </row>
    <row r="268" spans="1:12">
      <c r="A268" s="23" t="s">
        <v>9</v>
      </c>
      <c r="B268" s="23" t="s">
        <v>123</v>
      </c>
      <c r="C268" s="23" t="s">
        <v>61</v>
      </c>
      <c r="D268" s="49" t="str">
        <f t="shared" si="5"/>
        <v>T01: M75 | T02: LTH</v>
      </c>
      <c r="E268" s="49" t="s">
        <v>282</v>
      </c>
      <c r="F268" s="23" t="s">
        <v>41</v>
      </c>
      <c r="G268" s="43">
        <v>177.1164021164021</v>
      </c>
      <c r="H268" s="43"/>
      <c r="I268" s="44">
        <v>44688</v>
      </c>
      <c r="J268" s="44"/>
      <c r="K268" s="44" t="s">
        <v>205</v>
      </c>
      <c r="L268" s="23"/>
    </row>
    <row r="269" spans="1:12">
      <c r="A269" s="23" t="s">
        <v>9</v>
      </c>
      <c r="B269" s="23" t="s">
        <v>123</v>
      </c>
      <c r="C269" s="23" t="s">
        <v>48</v>
      </c>
      <c r="D269" s="49" t="str">
        <f t="shared" si="5"/>
        <v>T01: M75 | T02: LTH</v>
      </c>
      <c r="E269" s="49" t="s">
        <v>282</v>
      </c>
      <c r="F269" s="23" t="s">
        <v>41</v>
      </c>
      <c r="G269" s="43">
        <v>177.1164021164021</v>
      </c>
      <c r="H269" s="43"/>
      <c r="I269" s="44">
        <v>44688</v>
      </c>
      <c r="J269" s="44"/>
      <c r="K269" s="44" t="s">
        <v>205</v>
      </c>
      <c r="L269" s="23"/>
    </row>
    <row r="270" spans="1:12">
      <c r="A270" s="23" t="s">
        <v>9</v>
      </c>
      <c r="B270" s="23" t="s">
        <v>123</v>
      </c>
      <c r="C270" s="23" t="s">
        <v>55</v>
      </c>
      <c r="D270" s="49" t="str">
        <f t="shared" si="5"/>
        <v>T01: M75 | T02: LTH</v>
      </c>
      <c r="E270" s="49" t="s">
        <v>282</v>
      </c>
      <c r="F270" s="23" t="s">
        <v>41</v>
      </c>
      <c r="G270" s="43">
        <v>88.62433862433862</v>
      </c>
      <c r="H270" s="43"/>
      <c r="I270" s="44">
        <v>44688</v>
      </c>
      <c r="J270" s="44"/>
      <c r="K270" s="44" t="s">
        <v>205</v>
      </c>
      <c r="L270" s="23"/>
    </row>
    <row r="271" spans="1:12">
      <c r="A271" s="23" t="s">
        <v>213</v>
      </c>
      <c r="B271" s="23" t="s">
        <v>113</v>
      </c>
      <c r="C271" s="23" t="s">
        <v>61</v>
      </c>
      <c r="D271" s="49" t="str">
        <f t="shared" ref="D271:D273" si="6">"T01: M75 | T02: "&amp;E271</f>
        <v>T01: M75 | T02: BMC</v>
      </c>
      <c r="E271" s="49" t="s">
        <v>91</v>
      </c>
      <c r="F271" s="23" t="s">
        <v>41</v>
      </c>
      <c r="G271" s="43">
        <v>129.87012987012986</v>
      </c>
      <c r="H271" s="43">
        <v>129.87012987012986</v>
      </c>
      <c r="I271" s="44">
        <v>44496</v>
      </c>
      <c r="J271" s="44"/>
      <c r="K271" s="44" t="s">
        <v>205</v>
      </c>
      <c r="L271" s="23"/>
    </row>
    <row r="272" spans="1:12">
      <c r="A272" s="23" t="s">
        <v>213</v>
      </c>
      <c r="B272" s="23" t="s">
        <v>113</v>
      </c>
      <c r="C272" s="23" t="s">
        <v>48</v>
      </c>
      <c r="D272" s="49" t="str">
        <f t="shared" si="6"/>
        <v>T01: M75 | T02: BMC</v>
      </c>
      <c r="E272" s="49" t="s">
        <v>91</v>
      </c>
      <c r="F272" s="23" t="s">
        <v>41</v>
      </c>
      <c r="G272" s="43">
        <v>129.87012987012986</v>
      </c>
      <c r="H272" s="43">
        <v>129.87012987012986</v>
      </c>
      <c r="I272" s="44">
        <v>44496</v>
      </c>
      <c r="J272" s="44"/>
      <c r="K272" s="44" t="s">
        <v>205</v>
      </c>
      <c r="L272" s="23"/>
    </row>
    <row r="273" spans="1:12">
      <c r="A273" s="23" t="s">
        <v>213</v>
      </c>
      <c r="B273" s="23" t="s">
        <v>113</v>
      </c>
      <c r="C273" s="23" t="s">
        <v>55</v>
      </c>
      <c r="D273" s="49" t="str">
        <f t="shared" si="6"/>
        <v>T01: M75 | T02: BMC</v>
      </c>
      <c r="E273" s="49" t="s">
        <v>91</v>
      </c>
      <c r="F273" s="23" t="s">
        <v>41</v>
      </c>
      <c r="G273" s="43">
        <v>64.935064935064929</v>
      </c>
      <c r="H273" s="43">
        <v>64.935064935064929</v>
      </c>
      <c r="I273" s="44">
        <v>44496</v>
      </c>
      <c r="J273" s="44"/>
      <c r="K273" s="44" t="s">
        <v>205</v>
      </c>
      <c r="L273" s="23"/>
    </row>
    <row r="274" spans="1:12">
      <c r="A274" s="23" t="s">
        <v>213</v>
      </c>
      <c r="B274" s="23" t="s">
        <v>113</v>
      </c>
      <c r="C274" s="23" t="s">
        <v>61</v>
      </c>
      <c r="D274" s="49" t="str">
        <f t="shared" ref="D274:D276" si="7">"T01: M75 | T02: "&amp;E274</f>
        <v>T01: M75 | T02: XH</v>
      </c>
      <c r="E274" s="49" t="s">
        <v>244</v>
      </c>
      <c r="F274" s="23" t="s">
        <v>41</v>
      </c>
      <c r="G274" s="43">
        <v>129.87012987012986</v>
      </c>
      <c r="H274" s="43">
        <v>129.87012987012986</v>
      </c>
      <c r="I274" s="44">
        <v>44496</v>
      </c>
      <c r="J274" s="44"/>
      <c r="K274" s="44" t="s">
        <v>205</v>
      </c>
      <c r="L274" s="23"/>
    </row>
    <row r="275" spans="1:12">
      <c r="A275" s="23" t="s">
        <v>213</v>
      </c>
      <c r="B275" s="23" t="s">
        <v>113</v>
      </c>
      <c r="C275" s="23" t="s">
        <v>48</v>
      </c>
      <c r="D275" s="49" t="str">
        <f t="shared" si="7"/>
        <v>T01: M75 | T02: XH</v>
      </c>
      <c r="E275" s="49" t="s">
        <v>244</v>
      </c>
      <c r="F275" s="23" t="s">
        <v>41</v>
      </c>
      <c r="G275" s="43">
        <v>129.87012987012986</v>
      </c>
      <c r="H275" s="43">
        <v>129.87012987012986</v>
      </c>
      <c r="I275" s="44">
        <v>44496</v>
      </c>
      <c r="J275" s="44"/>
      <c r="K275" s="44" t="s">
        <v>205</v>
      </c>
      <c r="L275" s="23"/>
    </row>
    <row r="276" spans="1:12">
      <c r="A276" s="23" t="s">
        <v>213</v>
      </c>
      <c r="B276" s="23" t="s">
        <v>113</v>
      </c>
      <c r="C276" s="23" t="s">
        <v>55</v>
      </c>
      <c r="D276" s="49" t="str">
        <f t="shared" si="7"/>
        <v>T01: M75 | T02: XH</v>
      </c>
      <c r="E276" s="49" t="s">
        <v>244</v>
      </c>
      <c r="F276" s="23" t="s">
        <v>41</v>
      </c>
      <c r="G276" s="43">
        <v>64.935064935064929</v>
      </c>
      <c r="H276" s="43">
        <v>64.935064935064929</v>
      </c>
      <c r="I276" s="44">
        <v>44496</v>
      </c>
      <c r="J276" s="44"/>
      <c r="K276" s="44" t="s">
        <v>205</v>
      </c>
      <c r="L276" s="23"/>
    </row>
    <row r="277" spans="1:12">
      <c r="A277" s="23" t="s">
        <v>213</v>
      </c>
      <c r="B277" s="23" t="s">
        <v>119</v>
      </c>
      <c r="C277" s="23" t="s">
        <v>61</v>
      </c>
      <c r="D277" s="49" t="str">
        <f t="shared" ref="D277:D279" si="8">"T01: M75 | T02: "&amp;E277</f>
        <v>T01: M75 | T02: MC</v>
      </c>
      <c r="E277" s="49" t="s">
        <v>92</v>
      </c>
      <c r="F277" s="23" t="s">
        <v>41</v>
      </c>
      <c r="G277" s="43">
        <v>127.27272727272727</v>
      </c>
      <c r="H277" s="43">
        <v>127.27272727272727</v>
      </c>
      <c r="I277" s="44">
        <v>44536</v>
      </c>
      <c r="J277" s="44"/>
      <c r="K277" s="44" t="s">
        <v>205</v>
      </c>
      <c r="L277" s="23"/>
    </row>
    <row r="278" spans="1:12">
      <c r="A278" s="23" t="s">
        <v>213</v>
      </c>
      <c r="B278" s="23" t="s">
        <v>119</v>
      </c>
      <c r="C278" s="23" t="s">
        <v>48</v>
      </c>
      <c r="D278" s="49" t="str">
        <f t="shared" si="8"/>
        <v>T01: M75 | T02: MC</v>
      </c>
      <c r="E278" s="49" t="s">
        <v>92</v>
      </c>
      <c r="F278" s="23" t="s">
        <v>41</v>
      </c>
      <c r="G278" s="43">
        <v>127.27272727272727</v>
      </c>
      <c r="H278" s="43">
        <v>127.27272727272727</v>
      </c>
      <c r="I278" s="44">
        <v>44536</v>
      </c>
      <c r="J278" s="44"/>
      <c r="K278" s="44" t="s">
        <v>205</v>
      </c>
      <c r="L278" s="23"/>
    </row>
    <row r="279" spans="1:12">
      <c r="A279" s="23" t="s">
        <v>213</v>
      </c>
      <c r="B279" s="23" t="s">
        <v>119</v>
      </c>
      <c r="C279" s="23" t="s">
        <v>55</v>
      </c>
      <c r="D279" s="49" t="str">
        <f t="shared" si="8"/>
        <v>T01: M75 | T02: MC</v>
      </c>
      <c r="E279" s="49" t="s">
        <v>92</v>
      </c>
      <c r="F279" s="23" t="s">
        <v>41</v>
      </c>
      <c r="G279" s="43">
        <v>66.233766233766232</v>
      </c>
      <c r="H279" s="43">
        <v>66.233766233766232</v>
      </c>
      <c r="I279" s="44">
        <v>44536</v>
      </c>
      <c r="J279" s="44"/>
      <c r="K279" s="44" t="s">
        <v>205</v>
      </c>
      <c r="L279" s="23"/>
    </row>
    <row r="280" spans="1:12">
      <c r="A280" s="23" t="s">
        <v>8</v>
      </c>
      <c r="B280" s="23" t="s">
        <v>113</v>
      </c>
      <c r="C280" s="23" t="s">
        <v>61</v>
      </c>
      <c r="D280" s="49" t="str">
        <f t="shared" ref="D280:D284" si="9">"T01: M75 | T02: "&amp;E280</f>
        <v>T01: M75 | T02: BMC</v>
      </c>
      <c r="E280" s="49" t="s">
        <v>91</v>
      </c>
      <c r="F280" s="23" t="s">
        <v>41</v>
      </c>
      <c r="G280" s="43">
        <v>123.37662337662336</v>
      </c>
      <c r="H280" s="43">
        <v>123.37662337662336</v>
      </c>
      <c r="I280" s="44">
        <v>44409</v>
      </c>
      <c r="J280" s="44"/>
      <c r="K280" s="44" t="s">
        <v>205</v>
      </c>
      <c r="L280" s="23"/>
    </row>
    <row r="281" spans="1:12">
      <c r="A281" s="23" t="s">
        <v>8</v>
      </c>
      <c r="B281" s="23" t="s">
        <v>113</v>
      </c>
      <c r="C281" s="23" t="s">
        <v>48</v>
      </c>
      <c r="D281" s="49" t="str">
        <f t="shared" si="9"/>
        <v>T01: M75 | T02: BMC</v>
      </c>
      <c r="E281" s="49" t="s">
        <v>91</v>
      </c>
      <c r="F281" s="23" t="s">
        <v>41</v>
      </c>
      <c r="G281" s="43">
        <v>123.37662337662336</v>
      </c>
      <c r="H281" s="43">
        <v>123.37662337662336</v>
      </c>
      <c r="I281" s="44">
        <v>44409</v>
      </c>
      <c r="J281" s="44"/>
      <c r="K281" s="44" t="s">
        <v>205</v>
      </c>
      <c r="L281" s="23"/>
    </row>
    <row r="282" spans="1:12">
      <c r="A282" s="23" t="s">
        <v>214</v>
      </c>
      <c r="B282" s="23" t="s">
        <v>119</v>
      </c>
      <c r="C282" s="23" t="s">
        <v>61</v>
      </c>
      <c r="D282" s="49" t="str">
        <f t="shared" si="9"/>
        <v>T01: M75 | T02: MC</v>
      </c>
      <c r="E282" s="49" t="s">
        <v>92</v>
      </c>
      <c r="F282" s="23" t="s">
        <v>41</v>
      </c>
      <c r="G282" s="43">
        <v>123.37662337662336</v>
      </c>
      <c r="H282" s="43">
        <v>123.37662337662336</v>
      </c>
      <c r="I282" s="44">
        <v>44286</v>
      </c>
      <c r="J282" s="44"/>
      <c r="K282" s="44" t="s">
        <v>205</v>
      </c>
      <c r="L282" s="23"/>
    </row>
    <row r="283" spans="1:12">
      <c r="A283" s="23" t="s">
        <v>214</v>
      </c>
      <c r="B283" s="23" t="s">
        <v>119</v>
      </c>
      <c r="C283" s="23" t="s">
        <v>48</v>
      </c>
      <c r="D283" s="49" t="str">
        <f t="shared" si="9"/>
        <v>T01: M75 | T02: MC</v>
      </c>
      <c r="E283" s="49" t="s">
        <v>92</v>
      </c>
      <c r="F283" s="23" t="s">
        <v>41</v>
      </c>
      <c r="G283" s="43">
        <v>123.37662337662336</v>
      </c>
      <c r="H283" s="43">
        <v>123.37662337662336</v>
      </c>
      <c r="I283" s="44">
        <v>44286</v>
      </c>
      <c r="J283" s="44"/>
      <c r="K283" s="44" t="s">
        <v>205</v>
      </c>
      <c r="L283" s="23"/>
    </row>
    <row r="284" spans="1:12">
      <c r="A284" s="23" t="s">
        <v>214</v>
      </c>
      <c r="B284" s="23" t="s">
        <v>119</v>
      </c>
      <c r="C284" s="23" t="s">
        <v>55</v>
      </c>
      <c r="D284" s="49" t="str">
        <f t="shared" si="9"/>
        <v>T01: M75 | T02: MC</v>
      </c>
      <c r="E284" s="49" t="s">
        <v>92</v>
      </c>
      <c r="F284" s="23" t="s">
        <v>41</v>
      </c>
      <c r="G284" s="43">
        <v>61.688311688311678</v>
      </c>
      <c r="H284" s="43">
        <v>61.688311688311678</v>
      </c>
      <c r="I284" s="44">
        <v>44286</v>
      </c>
      <c r="J284" s="44"/>
      <c r="K284" s="44" t="s">
        <v>205</v>
      </c>
      <c r="L284" s="23"/>
    </row>
    <row r="285" spans="1:12">
      <c r="A285" s="23" t="s">
        <v>5</v>
      </c>
      <c r="B285" s="23" t="s">
        <v>117</v>
      </c>
      <c r="C285" s="23" t="s">
        <v>28</v>
      </c>
      <c r="D285" s="49" t="str">
        <f>"T01: PCB40 | T02: "&amp;E285&amp;" | T03: Xám"</f>
        <v>T01: PCB40 | T02: SGA | T03: Xám</v>
      </c>
      <c r="E285" s="49" t="s">
        <v>276</v>
      </c>
      <c r="F285" s="23" t="s">
        <v>34</v>
      </c>
      <c r="G285" s="43">
        <v>177922.07792207791</v>
      </c>
      <c r="H285" s="43">
        <v>177922.07792207791</v>
      </c>
      <c r="I285" s="44">
        <v>44456</v>
      </c>
      <c r="J285" s="44"/>
      <c r="K285" s="44" t="s">
        <v>204</v>
      </c>
      <c r="L285" s="23"/>
    </row>
    <row r="286" spans="1:12">
      <c r="A286" s="23" t="s">
        <v>5</v>
      </c>
      <c r="B286" s="23" t="s">
        <v>117</v>
      </c>
      <c r="C286" s="23" t="s">
        <v>28</v>
      </c>
      <c r="D286" s="49" t="str">
        <f t="shared" ref="D286:D296" si="10">"T01: PCB40 | T02: "&amp;E286&amp;" | T03: Xám"</f>
        <v>T01: PCB40 | T02: SGA | T03: Xám</v>
      </c>
      <c r="E286" s="49" t="s">
        <v>276</v>
      </c>
      <c r="F286" s="23" t="s">
        <v>34</v>
      </c>
      <c r="G286" s="43">
        <v>191558.44155844155</v>
      </c>
      <c r="H286" s="43"/>
      <c r="I286" s="44">
        <v>44502</v>
      </c>
      <c r="J286" s="44"/>
      <c r="K286" s="44" t="s">
        <v>204</v>
      </c>
      <c r="L286" s="23"/>
    </row>
    <row r="287" spans="1:12">
      <c r="A287" s="23" t="s">
        <v>5</v>
      </c>
      <c r="B287" s="23" t="s">
        <v>117</v>
      </c>
      <c r="C287" s="23" t="s">
        <v>28</v>
      </c>
      <c r="D287" s="49" t="str">
        <f t="shared" si="10"/>
        <v>T01: PCB40 | T02: SGA | T03: Xám</v>
      </c>
      <c r="E287" s="49" t="s">
        <v>276</v>
      </c>
      <c r="F287" s="23" t="s">
        <v>34</v>
      </c>
      <c r="G287" s="43">
        <v>183766.23376623375</v>
      </c>
      <c r="H287" s="43">
        <v>183766.23376623375</v>
      </c>
      <c r="I287" s="44">
        <v>44512</v>
      </c>
      <c r="J287" s="44"/>
      <c r="K287" s="44" t="s">
        <v>204</v>
      </c>
      <c r="L287" s="23"/>
    </row>
    <row r="288" spans="1:12">
      <c r="A288" s="23" t="s">
        <v>5</v>
      </c>
      <c r="B288" s="23" t="s">
        <v>117</v>
      </c>
      <c r="C288" s="23" t="s">
        <v>28</v>
      </c>
      <c r="D288" s="49" t="str">
        <f t="shared" si="10"/>
        <v>T01: PCB40 | T02: SGA | T03: Xám</v>
      </c>
      <c r="E288" s="49" t="s">
        <v>276</v>
      </c>
      <c r="F288" s="23" t="s">
        <v>34</v>
      </c>
      <c r="G288" s="43">
        <v>197402.59740259737</v>
      </c>
      <c r="H288" s="43"/>
      <c r="I288" s="44">
        <v>44540</v>
      </c>
      <c r="J288" s="44"/>
      <c r="K288" s="44" t="s">
        <v>204</v>
      </c>
      <c r="L288" s="23"/>
    </row>
    <row r="289" spans="1:12">
      <c r="A289" s="23" t="s">
        <v>5</v>
      </c>
      <c r="B289" s="23" t="s">
        <v>117</v>
      </c>
      <c r="C289" s="23" t="s">
        <v>28</v>
      </c>
      <c r="D289" s="49" t="str">
        <f t="shared" si="10"/>
        <v>T01: PCB40 | T02: XT | T03: Xám</v>
      </c>
      <c r="E289" s="49" t="s">
        <v>266</v>
      </c>
      <c r="F289" s="23" t="s">
        <v>34</v>
      </c>
      <c r="G289" s="43">
        <v>172727.27272727271</v>
      </c>
      <c r="H289" s="43"/>
      <c r="I289" s="44">
        <v>44456</v>
      </c>
      <c r="J289" s="44"/>
      <c r="K289" s="44" t="s">
        <v>204</v>
      </c>
      <c r="L289" s="23"/>
    </row>
    <row r="290" spans="1:12">
      <c r="A290" s="23" t="s">
        <v>5</v>
      </c>
      <c r="B290" s="23" t="s">
        <v>133</v>
      </c>
      <c r="C290" s="23" t="s">
        <v>28</v>
      </c>
      <c r="D290" s="49" t="str">
        <f t="shared" si="10"/>
        <v>T01: PCB40 | T02: SGA | T03: Xám</v>
      </c>
      <c r="E290" s="49" t="s">
        <v>276</v>
      </c>
      <c r="F290" s="23" t="s">
        <v>34</v>
      </c>
      <c r="G290" s="43">
        <v>202597.4025974026</v>
      </c>
      <c r="H290" s="43"/>
      <c r="I290" s="44">
        <v>44456</v>
      </c>
      <c r="J290" s="44"/>
      <c r="K290" s="44" t="s">
        <v>204</v>
      </c>
      <c r="L290" s="23"/>
    </row>
    <row r="291" spans="1:12">
      <c r="A291" s="23" t="s">
        <v>5</v>
      </c>
      <c r="B291" s="23" t="s">
        <v>346</v>
      </c>
      <c r="C291" s="23" t="s">
        <v>28</v>
      </c>
      <c r="D291" s="49" t="str">
        <f t="shared" si="10"/>
        <v>T01: PCB40 | T02: SGA | T03: Xám</v>
      </c>
      <c r="E291" s="49" t="s">
        <v>276</v>
      </c>
      <c r="F291" s="23" t="s">
        <v>34</v>
      </c>
      <c r="G291" s="43">
        <v>172727.27272727271</v>
      </c>
      <c r="H291" s="43"/>
      <c r="I291" s="44">
        <v>44456</v>
      </c>
      <c r="J291" s="44"/>
      <c r="K291" s="44" t="s">
        <v>204</v>
      </c>
      <c r="L291" s="23"/>
    </row>
    <row r="292" spans="1:12">
      <c r="A292" s="23" t="s">
        <v>5</v>
      </c>
      <c r="B292" s="23" t="s">
        <v>346</v>
      </c>
      <c r="C292" s="23" t="s">
        <v>28</v>
      </c>
      <c r="D292" s="49" t="str">
        <f t="shared" si="10"/>
        <v>T01: PCB40 | T02: SGA | T03: Xám</v>
      </c>
      <c r="E292" s="49" t="s">
        <v>276</v>
      </c>
      <c r="F292" s="23" t="s">
        <v>34</v>
      </c>
      <c r="G292" s="43">
        <v>188311.68831168831</v>
      </c>
      <c r="H292" s="43"/>
      <c r="I292" s="44">
        <v>44540</v>
      </c>
      <c r="J292" s="44"/>
      <c r="K292" s="44" t="s">
        <v>204</v>
      </c>
      <c r="L292" s="23"/>
    </row>
    <row r="293" spans="1:12">
      <c r="A293" s="23" t="s">
        <v>5</v>
      </c>
      <c r="B293" s="23" t="s">
        <v>137</v>
      </c>
      <c r="C293" s="23" t="s">
        <v>28</v>
      </c>
      <c r="D293" s="49" t="str">
        <f t="shared" si="10"/>
        <v>T01: PCB40 | T02: SGA | T03: Xám</v>
      </c>
      <c r="E293" s="49" t="s">
        <v>276</v>
      </c>
      <c r="F293" s="23" t="s">
        <v>34</v>
      </c>
      <c r="G293" s="43">
        <v>187012.987012987</v>
      </c>
      <c r="H293" s="43">
        <v>187012.987012987</v>
      </c>
      <c r="I293" s="44">
        <v>44541</v>
      </c>
      <c r="J293" s="44"/>
      <c r="K293" s="44" t="s">
        <v>204</v>
      </c>
      <c r="L293" s="23"/>
    </row>
    <row r="294" spans="1:12">
      <c r="A294" s="23" t="s">
        <v>5</v>
      </c>
      <c r="B294" s="23" t="s">
        <v>137</v>
      </c>
      <c r="C294" s="23" t="s">
        <v>28</v>
      </c>
      <c r="D294" s="49" t="str">
        <f t="shared" si="10"/>
        <v>T01: PCB40 | T02: SGA | T03: Xám</v>
      </c>
      <c r="E294" s="49" t="s">
        <v>276</v>
      </c>
      <c r="F294" s="23" t="s">
        <v>34</v>
      </c>
      <c r="G294" s="43">
        <v>193506.49350649348</v>
      </c>
      <c r="H294" s="43">
        <v>193506.49350649348</v>
      </c>
      <c r="I294" s="44">
        <v>44606</v>
      </c>
      <c r="J294" s="44"/>
      <c r="K294" s="44" t="s">
        <v>204</v>
      </c>
      <c r="L294" s="23"/>
    </row>
    <row r="295" spans="1:12">
      <c r="A295" s="23" t="s">
        <v>5</v>
      </c>
      <c r="B295" s="23" t="s">
        <v>137</v>
      </c>
      <c r="C295" s="23" t="s">
        <v>28</v>
      </c>
      <c r="D295" s="49" t="str">
        <f t="shared" si="10"/>
        <v>T01: PCB40 | T02: SGA | T03: Xám</v>
      </c>
      <c r="E295" s="49" t="s">
        <v>276</v>
      </c>
      <c r="F295" s="23" t="s">
        <v>34</v>
      </c>
      <c r="G295" s="43">
        <v>209378.30687830687</v>
      </c>
      <c r="H295" s="43">
        <v>209378.30687830687</v>
      </c>
      <c r="I295" s="44">
        <v>44645</v>
      </c>
      <c r="J295" s="44"/>
      <c r="K295" s="44" t="s">
        <v>204</v>
      </c>
      <c r="L295" s="23"/>
    </row>
    <row r="296" spans="1:12">
      <c r="A296" s="23" t="s">
        <v>5</v>
      </c>
      <c r="B296" s="23" t="s">
        <v>137</v>
      </c>
      <c r="C296" s="23" t="s">
        <v>28</v>
      </c>
      <c r="D296" s="49" t="str">
        <f t="shared" si="10"/>
        <v>T01: PCB40 | T02: SGA | T03: Xám</v>
      </c>
      <c r="E296" s="49" t="s">
        <v>276</v>
      </c>
      <c r="F296" s="23" t="s">
        <v>34</v>
      </c>
      <c r="G296" s="43">
        <v>219960.31746031746</v>
      </c>
      <c r="H296" s="43">
        <v>219960.31746031746</v>
      </c>
      <c r="I296" s="44">
        <v>44701</v>
      </c>
      <c r="J296" s="44"/>
      <c r="K296" s="44" t="s">
        <v>204</v>
      </c>
      <c r="L296" s="23"/>
    </row>
    <row r="297" spans="1:12">
      <c r="A297" s="23" t="s">
        <v>5</v>
      </c>
      <c r="B297" s="23" t="s">
        <v>117</v>
      </c>
      <c r="C297" s="23" t="s">
        <v>58</v>
      </c>
      <c r="D297" s="49" t="str">
        <f>"T01: M50 | T02: "&amp;E297</f>
        <v>T01: M50 | T02: LA</v>
      </c>
      <c r="E297" s="49" t="s">
        <v>229</v>
      </c>
      <c r="F297" s="23" t="s">
        <v>41</v>
      </c>
      <c r="G297" s="43">
        <v>190.90909090909091</v>
      </c>
      <c r="H297" s="43"/>
      <c r="I297" s="44">
        <v>44470</v>
      </c>
      <c r="J297" s="44"/>
      <c r="K297" s="44" t="s">
        <v>204</v>
      </c>
      <c r="L297" s="23"/>
    </row>
    <row r="298" spans="1:12">
      <c r="A298" s="23" t="s">
        <v>5</v>
      </c>
      <c r="B298" s="23" t="s">
        <v>117</v>
      </c>
      <c r="C298" s="23" t="s">
        <v>44</v>
      </c>
      <c r="D298" s="49" t="str">
        <f t="shared" ref="D298" si="11">"T01: M75 | T02: "&amp;E298</f>
        <v>T01: M75 | T02: LA</v>
      </c>
      <c r="E298" s="49" t="s">
        <v>229</v>
      </c>
      <c r="F298" s="23" t="s">
        <v>41</v>
      </c>
      <c r="G298" s="43">
        <v>174.02597402597399</v>
      </c>
      <c r="H298" s="43"/>
      <c r="I298" s="44">
        <v>44470</v>
      </c>
      <c r="J298" s="44"/>
      <c r="K298" s="44" t="s">
        <v>204</v>
      </c>
      <c r="L298" s="23"/>
    </row>
    <row r="299" spans="1:12">
      <c r="A299" s="23" t="s">
        <v>5</v>
      </c>
      <c r="B299" s="23" t="s">
        <v>117</v>
      </c>
      <c r="C299" s="23" t="s">
        <v>58</v>
      </c>
      <c r="D299" s="49" t="str">
        <f>"T01: M50 | T02: "&amp;E299</f>
        <v>T01: M50 | T02: LA</v>
      </c>
      <c r="E299" s="49" t="s">
        <v>229</v>
      </c>
      <c r="F299" s="23" t="s">
        <v>41</v>
      </c>
      <c r="G299" s="43">
        <v>188.3116883116883</v>
      </c>
      <c r="H299" s="43"/>
      <c r="I299" s="44">
        <v>44471</v>
      </c>
      <c r="J299" s="44"/>
      <c r="K299" s="44" t="s">
        <v>204</v>
      </c>
      <c r="L299" s="23"/>
    </row>
    <row r="300" spans="1:12">
      <c r="A300" s="23" t="s">
        <v>5</v>
      </c>
      <c r="B300" s="23" t="s">
        <v>117</v>
      </c>
      <c r="C300" s="23" t="s">
        <v>44</v>
      </c>
      <c r="D300" s="49" t="str">
        <f t="shared" ref="D300" si="12">"T01: M75 | T02: "&amp;E300</f>
        <v>T01: M75 | T02: LA</v>
      </c>
      <c r="E300" s="49" t="s">
        <v>229</v>
      </c>
      <c r="F300" s="23" t="s">
        <v>41</v>
      </c>
      <c r="G300" s="43">
        <v>168.83116883116881</v>
      </c>
      <c r="H300" s="43"/>
      <c r="I300" s="44">
        <v>44471</v>
      </c>
      <c r="J300" s="44"/>
      <c r="K300" s="44" t="s">
        <v>204</v>
      </c>
      <c r="L300" s="23"/>
    </row>
    <row r="301" spans="1:12">
      <c r="A301" s="23" t="s">
        <v>5</v>
      </c>
      <c r="B301" s="23" t="s">
        <v>117</v>
      </c>
      <c r="C301" s="23" t="s">
        <v>58</v>
      </c>
      <c r="D301" s="49" t="str">
        <f>"T01: M50 | T02: "&amp;E301</f>
        <v>T01: M50 | T02: LA</v>
      </c>
      <c r="E301" s="49" t="s">
        <v>229</v>
      </c>
      <c r="F301" s="23" t="s">
        <v>41</v>
      </c>
      <c r="G301" s="43">
        <v>185.71428571428572</v>
      </c>
      <c r="H301" s="43">
        <v>185.71428571428572</v>
      </c>
      <c r="I301" s="44">
        <v>44474</v>
      </c>
      <c r="J301" s="44"/>
      <c r="K301" s="44" t="s">
        <v>204</v>
      </c>
      <c r="L301" s="23"/>
    </row>
    <row r="302" spans="1:12">
      <c r="A302" s="23" t="s">
        <v>5</v>
      </c>
      <c r="B302" s="23" t="s">
        <v>117</v>
      </c>
      <c r="C302" s="23" t="s">
        <v>44</v>
      </c>
      <c r="D302" s="49" t="str">
        <f t="shared" ref="D302" si="13">"T01: M75 | T02: "&amp;E302</f>
        <v>T01: M75 | T02: LA</v>
      </c>
      <c r="E302" s="49" t="s">
        <v>229</v>
      </c>
      <c r="F302" s="23" t="s">
        <v>41</v>
      </c>
      <c r="G302" s="43">
        <v>168.83116883116881</v>
      </c>
      <c r="H302" s="43">
        <v>168.83116883116881</v>
      </c>
      <c r="I302" s="44">
        <v>44474</v>
      </c>
      <c r="J302" s="44"/>
      <c r="K302" s="44" t="s">
        <v>204</v>
      </c>
      <c r="L302" s="23" t="s">
        <v>209</v>
      </c>
    </row>
    <row r="303" spans="1:12">
      <c r="A303" s="23" t="s">
        <v>5</v>
      </c>
      <c r="B303" s="23" t="s">
        <v>117</v>
      </c>
      <c r="C303" s="23" t="s">
        <v>44</v>
      </c>
      <c r="D303" s="49" t="str">
        <f t="shared" ref="D303" si="14">"T01: M75 | T02: "&amp;E303</f>
        <v>T01: M75 | T02: LA</v>
      </c>
      <c r="E303" s="49" t="s">
        <v>229</v>
      </c>
      <c r="F303" s="23" t="s">
        <v>41</v>
      </c>
      <c r="G303" s="43">
        <v>171.95767195767195</v>
      </c>
      <c r="H303" s="43">
        <v>171.95767195767195</v>
      </c>
      <c r="I303" s="44">
        <v>44616</v>
      </c>
      <c r="J303" s="44"/>
      <c r="K303" s="44" t="s">
        <v>204</v>
      </c>
      <c r="L303" s="23"/>
    </row>
    <row r="304" spans="1:12">
      <c r="A304" s="23" t="s">
        <v>5</v>
      </c>
      <c r="B304" s="23" t="s">
        <v>115</v>
      </c>
      <c r="C304" s="23" t="s">
        <v>58</v>
      </c>
      <c r="D304" s="49" t="str">
        <f>"T01: M50 | T02: "&amp;E304</f>
        <v>T01: M50 | T02: LA</v>
      </c>
      <c r="E304" s="49" t="s">
        <v>229</v>
      </c>
      <c r="F304" s="23" t="s">
        <v>41</v>
      </c>
      <c r="G304" s="43">
        <v>190.90909090909091</v>
      </c>
      <c r="H304" s="43"/>
      <c r="I304" s="44">
        <v>44390</v>
      </c>
      <c r="J304" s="44"/>
      <c r="K304" s="44" t="s">
        <v>204</v>
      </c>
      <c r="L304" s="23"/>
    </row>
    <row r="305" spans="1:12">
      <c r="A305" s="23" t="s">
        <v>5</v>
      </c>
      <c r="B305" s="23" t="s">
        <v>115</v>
      </c>
      <c r="C305" s="23" t="s">
        <v>44</v>
      </c>
      <c r="D305" s="49" t="str">
        <f t="shared" ref="D305" si="15">"T01: M75 | T02: "&amp;E305</f>
        <v>T01: M75 | T02: LA</v>
      </c>
      <c r="E305" s="49" t="s">
        <v>229</v>
      </c>
      <c r="F305" s="23" t="s">
        <v>41</v>
      </c>
      <c r="G305" s="43">
        <v>175.32467532467533</v>
      </c>
      <c r="H305" s="43"/>
      <c r="I305" s="44">
        <v>44390</v>
      </c>
      <c r="J305" s="44"/>
      <c r="K305" s="44" t="s">
        <v>204</v>
      </c>
      <c r="L305" s="23"/>
    </row>
    <row r="306" spans="1:12">
      <c r="A306" s="23" t="s">
        <v>5</v>
      </c>
      <c r="B306" s="23" t="s">
        <v>115</v>
      </c>
      <c r="C306" s="23" t="s">
        <v>58</v>
      </c>
      <c r="D306" s="49" t="str">
        <f>"T01: M50 | T02: "&amp;E306</f>
        <v>T01: M50 | T02: LA</v>
      </c>
      <c r="E306" s="49" t="s">
        <v>229</v>
      </c>
      <c r="F306" s="23" t="s">
        <v>41</v>
      </c>
      <c r="G306" s="43">
        <v>190.85714285714286</v>
      </c>
      <c r="H306" s="43"/>
      <c r="I306" s="44">
        <v>44409</v>
      </c>
      <c r="J306" s="44"/>
      <c r="K306" s="44" t="s">
        <v>204</v>
      </c>
      <c r="L306" s="23"/>
    </row>
    <row r="307" spans="1:12">
      <c r="A307" s="23" t="s">
        <v>5</v>
      </c>
      <c r="B307" s="23" t="s">
        <v>115</v>
      </c>
      <c r="C307" s="23" t="s">
        <v>44</v>
      </c>
      <c r="D307" s="49" t="str">
        <f t="shared" ref="D307" si="16">"T01: M75 | T02: "&amp;E307</f>
        <v>T01: M75 | T02: LA</v>
      </c>
      <c r="E307" s="49" t="s">
        <v>229</v>
      </c>
      <c r="F307" s="23" t="s">
        <v>41</v>
      </c>
      <c r="G307" s="43">
        <v>171.42857142857142</v>
      </c>
      <c r="H307" s="43"/>
      <c r="I307" s="44">
        <v>44409</v>
      </c>
      <c r="J307" s="44"/>
      <c r="K307" s="44" t="s">
        <v>204</v>
      </c>
      <c r="L307" s="23"/>
    </row>
    <row r="308" spans="1:12">
      <c r="A308" s="23" t="s">
        <v>5</v>
      </c>
      <c r="B308" s="23" t="s">
        <v>115</v>
      </c>
      <c r="C308" s="23" t="s">
        <v>58</v>
      </c>
      <c r="D308" s="49" t="str">
        <f>"T01: M50 | T02: "&amp;E308</f>
        <v>T01: M50 | T02: LA</v>
      </c>
      <c r="E308" s="49" t="s">
        <v>229</v>
      </c>
      <c r="F308" s="23" t="s">
        <v>41</v>
      </c>
      <c r="G308" s="43">
        <v>188.3116883116883</v>
      </c>
      <c r="H308" s="43"/>
      <c r="I308" s="44">
        <v>44444</v>
      </c>
      <c r="J308" s="44"/>
      <c r="K308" s="44" t="s">
        <v>204</v>
      </c>
      <c r="L308" s="23"/>
    </row>
    <row r="309" spans="1:12">
      <c r="A309" s="23" t="s">
        <v>5</v>
      </c>
      <c r="B309" s="23" t="s">
        <v>115</v>
      </c>
      <c r="C309" s="23" t="s">
        <v>44</v>
      </c>
      <c r="D309" s="49" t="str">
        <f t="shared" ref="D309" si="17">"T01: M75 | T02: "&amp;E309</f>
        <v>T01: M75 | T02: LA</v>
      </c>
      <c r="E309" s="49" t="s">
        <v>229</v>
      </c>
      <c r="F309" s="23" t="s">
        <v>41</v>
      </c>
      <c r="G309" s="43">
        <v>171.42857142857142</v>
      </c>
      <c r="H309" s="43"/>
      <c r="I309" s="44">
        <v>44444</v>
      </c>
      <c r="J309" s="44"/>
      <c r="K309" s="44" t="s">
        <v>204</v>
      </c>
      <c r="L309" s="23"/>
    </row>
    <row r="310" spans="1:12">
      <c r="A310" s="23" t="s">
        <v>5</v>
      </c>
      <c r="B310" s="23" t="s">
        <v>115</v>
      </c>
      <c r="C310" s="23" t="s">
        <v>58</v>
      </c>
      <c r="D310" s="49" t="str">
        <f>"T01: M50 | T02: "&amp;E310</f>
        <v>T01: M50 | T02: LA</v>
      </c>
      <c r="E310" s="49" t="s">
        <v>229</v>
      </c>
      <c r="F310" s="23" t="s">
        <v>41</v>
      </c>
      <c r="G310" s="43">
        <v>185.71428571428572</v>
      </c>
      <c r="H310" s="43">
        <v>185.71428571428572</v>
      </c>
      <c r="I310" s="44">
        <v>44448</v>
      </c>
      <c r="J310" s="44"/>
      <c r="K310" s="44" t="s">
        <v>204</v>
      </c>
      <c r="L310" s="23"/>
    </row>
    <row r="311" spans="1:12">
      <c r="A311" s="23" t="s">
        <v>5</v>
      </c>
      <c r="B311" s="23" t="s">
        <v>115</v>
      </c>
      <c r="C311" s="23" t="s">
        <v>44</v>
      </c>
      <c r="D311" s="49" t="str">
        <f t="shared" ref="D311" si="18">"T01: M75 | T02: "&amp;E311</f>
        <v>T01: M75 | T02: LA</v>
      </c>
      <c r="E311" s="49" t="s">
        <v>229</v>
      </c>
      <c r="F311" s="23" t="s">
        <v>41</v>
      </c>
      <c r="G311" s="43">
        <v>168.83116883116881</v>
      </c>
      <c r="H311" s="43">
        <v>168.83116883116881</v>
      </c>
      <c r="I311" s="44">
        <v>44448</v>
      </c>
      <c r="J311" s="44"/>
      <c r="K311" s="44" t="s">
        <v>204</v>
      </c>
      <c r="L311" s="23"/>
    </row>
    <row r="312" spans="1:12">
      <c r="A312" s="23" t="s">
        <v>5</v>
      </c>
      <c r="B312" s="23" t="s">
        <v>347</v>
      </c>
      <c r="C312" s="23" t="s">
        <v>58</v>
      </c>
      <c r="D312" s="49" t="str">
        <f>"T01: M50 | T02: "&amp;E312</f>
        <v>T01: M50 | T02: LA</v>
      </c>
      <c r="E312" s="49" t="s">
        <v>229</v>
      </c>
      <c r="F312" s="23" t="s">
        <v>41</v>
      </c>
      <c r="G312" s="43">
        <v>198.57142857142858</v>
      </c>
      <c r="H312" s="43"/>
      <c r="I312" s="44">
        <v>44390</v>
      </c>
      <c r="J312" s="44"/>
      <c r="K312" s="44" t="s">
        <v>204</v>
      </c>
      <c r="L312" s="23"/>
    </row>
    <row r="313" spans="1:12">
      <c r="A313" s="23" t="s">
        <v>5</v>
      </c>
      <c r="B313" s="23" t="s">
        <v>347</v>
      </c>
      <c r="C313" s="23" t="s">
        <v>44</v>
      </c>
      <c r="D313" s="49" t="str">
        <f t="shared" ref="D313" si="19">"T01: M75 | T02: "&amp;E313</f>
        <v>T01: M75 | T02: LA</v>
      </c>
      <c r="E313" s="49" t="s">
        <v>229</v>
      </c>
      <c r="F313" s="23" t="s">
        <v>41</v>
      </c>
      <c r="G313" s="43">
        <v>182.85714285714286</v>
      </c>
      <c r="H313" s="43"/>
      <c r="I313" s="44">
        <v>44390</v>
      </c>
      <c r="J313" s="44"/>
      <c r="K313" s="44" t="s">
        <v>204</v>
      </c>
      <c r="L313" s="23"/>
    </row>
    <row r="314" spans="1:12">
      <c r="A314" s="23" t="s">
        <v>5</v>
      </c>
      <c r="B314" s="23" t="s">
        <v>117</v>
      </c>
      <c r="C314" s="23" t="s">
        <v>58</v>
      </c>
      <c r="D314" s="49" t="str">
        <f>"T01: M50 | T02: "&amp;E314</f>
        <v>T01: M50 | T02: TD</v>
      </c>
      <c r="E314" s="49" t="s">
        <v>240</v>
      </c>
      <c r="F314" s="23" t="s">
        <v>41</v>
      </c>
      <c r="G314" s="43">
        <v>185.71428571428572</v>
      </c>
      <c r="H314" s="43"/>
      <c r="I314" s="44">
        <v>44572</v>
      </c>
      <c r="J314" s="44"/>
      <c r="K314" s="44" t="s">
        <v>204</v>
      </c>
      <c r="L314" s="23"/>
    </row>
    <row r="315" spans="1:12">
      <c r="A315" s="23" t="s">
        <v>5</v>
      </c>
      <c r="B315" s="23" t="s">
        <v>117</v>
      </c>
      <c r="C315" s="23" t="s">
        <v>58</v>
      </c>
      <c r="D315" s="49" t="str">
        <f t="shared" ref="D315:D316" si="20">"T01: M50 | T02: "&amp;E315</f>
        <v>T01: M50 | T02: TD</v>
      </c>
      <c r="E315" s="49" t="s">
        <v>240</v>
      </c>
      <c r="F315" s="23" t="s">
        <v>41</v>
      </c>
      <c r="G315" s="43">
        <v>191.7989417989418</v>
      </c>
      <c r="H315" s="43"/>
      <c r="I315" s="44">
        <v>44616</v>
      </c>
      <c r="J315" s="44"/>
      <c r="K315" s="44" t="s">
        <v>204</v>
      </c>
      <c r="L315" s="23"/>
    </row>
    <row r="316" spans="1:12">
      <c r="A316" s="23" t="s">
        <v>5</v>
      </c>
      <c r="B316" s="23" t="s">
        <v>117</v>
      </c>
      <c r="C316" s="23" t="s">
        <v>58</v>
      </c>
      <c r="D316" s="49" t="str">
        <f t="shared" si="20"/>
        <v>T01: M50 | T02: TD</v>
      </c>
      <c r="E316" s="49" t="s">
        <v>240</v>
      </c>
      <c r="F316" s="23" t="s">
        <v>41</v>
      </c>
      <c r="G316" s="43">
        <v>187.83068783068782</v>
      </c>
      <c r="H316" s="43">
        <v>187.83068783068782</v>
      </c>
      <c r="I316" s="44">
        <v>44623</v>
      </c>
      <c r="J316" s="44"/>
      <c r="K316" s="44" t="s">
        <v>204</v>
      </c>
      <c r="L316" s="23"/>
    </row>
    <row r="317" spans="1:12">
      <c r="A317" s="23" t="s">
        <v>5</v>
      </c>
      <c r="B317" s="23" t="s">
        <v>348</v>
      </c>
      <c r="C317" s="23" t="s">
        <v>44</v>
      </c>
      <c r="D317" s="49" t="str">
        <f t="shared" ref="D317" si="21">"T01: M75 | T02: "&amp;E317</f>
        <v>T01: M75 | T02: DH</v>
      </c>
      <c r="E317" s="49" t="s">
        <v>228</v>
      </c>
      <c r="F317" s="23" t="s">
        <v>41</v>
      </c>
      <c r="G317" s="43">
        <v>175.32467532467533</v>
      </c>
      <c r="H317" s="43"/>
      <c r="I317" s="44">
        <v>44565</v>
      </c>
      <c r="J317" s="44"/>
      <c r="K317" s="44" t="s">
        <v>204</v>
      </c>
      <c r="L317" s="23"/>
    </row>
    <row r="318" spans="1:12">
      <c r="A318" s="23" t="s">
        <v>5</v>
      </c>
      <c r="B318" s="23" t="s">
        <v>349</v>
      </c>
      <c r="C318" s="23" t="s">
        <v>58</v>
      </c>
      <c r="D318" s="49" t="str">
        <f>"T01: M50 | T02: "&amp;E318</f>
        <v>T01: M50 | T02: DHO</v>
      </c>
      <c r="E318" s="49" t="s">
        <v>281</v>
      </c>
      <c r="F318" s="23" t="s">
        <v>41</v>
      </c>
      <c r="G318" s="43">
        <v>185.71428571428572</v>
      </c>
      <c r="H318" s="43"/>
      <c r="I318" s="44">
        <v>44496</v>
      </c>
      <c r="J318" s="44"/>
      <c r="K318" s="44" t="s">
        <v>204</v>
      </c>
      <c r="L318" s="23"/>
    </row>
    <row r="319" spans="1:12">
      <c r="A319" s="23" t="s">
        <v>5</v>
      </c>
      <c r="B319" s="23" t="s">
        <v>349</v>
      </c>
      <c r="C319" s="23" t="s">
        <v>44</v>
      </c>
      <c r="D319" s="49" t="str">
        <f t="shared" ref="D319" si="22">"T01: M75 | T02: "&amp;E319</f>
        <v>T01: M75 | T02: DHO</v>
      </c>
      <c r="E319" s="49" t="s">
        <v>281</v>
      </c>
      <c r="F319" s="23" t="s">
        <v>41</v>
      </c>
      <c r="G319" s="43">
        <v>162.33766233766232</v>
      </c>
      <c r="H319" s="43"/>
      <c r="I319" s="44">
        <v>44496</v>
      </c>
      <c r="J319" s="44"/>
      <c r="K319" s="44" t="s">
        <v>204</v>
      </c>
      <c r="L319" s="23"/>
    </row>
    <row r="320" spans="1:12">
      <c r="A320" s="23" t="s">
        <v>5</v>
      </c>
      <c r="B320" s="23" t="s">
        <v>349</v>
      </c>
      <c r="C320" s="23" t="s">
        <v>58</v>
      </c>
      <c r="D320" s="49" t="str">
        <f>"T01: M50 | T02: "&amp;E320</f>
        <v>T01: M50 | T02: DHO</v>
      </c>
      <c r="E320" s="49" t="s">
        <v>281</v>
      </c>
      <c r="F320" s="23" t="s">
        <v>41</v>
      </c>
      <c r="G320" s="43">
        <v>184.41558441558439</v>
      </c>
      <c r="H320" s="43">
        <v>184.41558441558439</v>
      </c>
      <c r="I320" s="44">
        <v>44571</v>
      </c>
      <c r="J320" s="44"/>
      <c r="K320" s="44" t="s">
        <v>204</v>
      </c>
      <c r="L320" s="23"/>
    </row>
    <row r="321" spans="1:12">
      <c r="A321" s="23" t="s">
        <v>5</v>
      </c>
      <c r="B321" s="23" t="s">
        <v>349</v>
      </c>
      <c r="C321" s="23" t="s">
        <v>44</v>
      </c>
      <c r="D321" s="49" t="str">
        <f t="shared" ref="D321" si="23">"T01: M75 | T02: "&amp;E321</f>
        <v>T01: M75 | T02: DHO</v>
      </c>
      <c r="E321" s="49" t="s">
        <v>281</v>
      </c>
      <c r="F321" s="23" t="s">
        <v>41</v>
      </c>
      <c r="G321" s="43">
        <v>162.33766233766232</v>
      </c>
      <c r="H321" s="43">
        <v>162.33766233766232</v>
      </c>
      <c r="I321" s="44">
        <v>44571</v>
      </c>
      <c r="J321" s="44"/>
      <c r="K321" s="44" t="s">
        <v>204</v>
      </c>
      <c r="L321" s="23"/>
    </row>
    <row r="322" spans="1:12">
      <c r="A322" s="23" t="s">
        <v>5</v>
      </c>
      <c r="B322" s="23" t="s">
        <v>349</v>
      </c>
      <c r="C322" s="23" t="s">
        <v>58</v>
      </c>
      <c r="D322" s="49" t="str">
        <f>"T01: M50 | T02: "&amp;E322</f>
        <v>T01: M50 | T02: DHO</v>
      </c>
      <c r="E322" s="49" t="s">
        <v>281</v>
      </c>
      <c r="F322" s="23" t="s">
        <v>41</v>
      </c>
      <c r="G322" s="43">
        <v>187.83068783068782</v>
      </c>
      <c r="H322" s="43">
        <v>187.83068783068782</v>
      </c>
      <c r="I322" s="44">
        <v>44606</v>
      </c>
      <c r="J322" s="44"/>
      <c r="K322" s="44" t="s">
        <v>204</v>
      </c>
      <c r="L322" s="23"/>
    </row>
    <row r="323" spans="1:12">
      <c r="A323" s="23" t="s">
        <v>5</v>
      </c>
      <c r="B323" s="23" t="s">
        <v>349</v>
      </c>
      <c r="C323" s="23" t="s">
        <v>44</v>
      </c>
      <c r="D323" s="49" t="str">
        <f t="shared" ref="D323" si="24">"T01: M75 | T02: "&amp;E323</f>
        <v>T01: M75 | T02: DHO</v>
      </c>
      <c r="E323" s="49" t="s">
        <v>281</v>
      </c>
      <c r="F323" s="23" t="s">
        <v>41</v>
      </c>
      <c r="G323" s="43">
        <v>165.34391534391534</v>
      </c>
      <c r="H323" s="43">
        <v>165.34391534391534</v>
      </c>
      <c r="I323" s="44">
        <v>44606</v>
      </c>
      <c r="J323" s="44"/>
      <c r="K323" s="44" t="s">
        <v>204</v>
      </c>
      <c r="L323" s="23"/>
    </row>
    <row r="324" spans="1:12">
      <c r="A324" s="23" t="s">
        <v>5</v>
      </c>
      <c r="B324" s="23" t="s">
        <v>117</v>
      </c>
      <c r="C324" s="23" t="s">
        <v>58</v>
      </c>
      <c r="D324" s="49" t="str">
        <f>"T01: M50 | T02: "&amp;E324</f>
        <v>T01: M50 | T02: DHO</v>
      </c>
      <c r="E324" s="49" t="s">
        <v>281</v>
      </c>
      <c r="F324" s="23" t="s">
        <v>41</v>
      </c>
      <c r="G324" s="43">
        <v>191.7989417989418</v>
      </c>
      <c r="H324" s="43"/>
      <c r="I324" s="44">
        <v>44607</v>
      </c>
      <c r="J324" s="44"/>
      <c r="K324" s="44" t="s">
        <v>204</v>
      </c>
      <c r="L324" s="23"/>
    </row>
    <row r="325" spans="1:12">
      <c r="A325" s="23" t="s">
        <v>5</v>
      </c>
      <c r="B325" s="23" t="s">
        <v>117</v>
      </c>
      <c r="C325" s="23" t="s">
        <v>58</v>
      </c>
      <c r="D325" s="49" t="str">
        <f>"T01: M50 | T02: "&amp;E325</f>
        <v>T01: M50 | T02: DHO</v>
      </c>
      <c r="E325" s="49" t="s">
        <v>281</v>
      </c>
      <c r="F325" s="23" t="s">
        <v>41</v>
      </c>
      <c r="G325" s="43">
        <v>187.83068783068782</v>
      </c>
      <c r="H325" s="43">
        <v>187.83068783068782</v>
      </c>
      <c r="I325" s="44">
        <v>44616</v>
      </c>
      <c r="J325" s="44"/>
      <c r="K325" s="44" t="s">
        <v>204</v>
      </c>
      <c r="L325" s="23"/>
    </row>
    <row r="326" spans="1:12">
      <c r="A326" s="23" t="s">
        <v>5</v>
      </c>
      <c r="B326" s="23" t="s">
        <v>348</v>
      </c>
      <c r="C326" s="23" t="s">
        <v>58</v>
      </c>
      <c r="D326" s="49" t="str">
        <f>"T01: M50 | T02: "&amp;E326</f>
        <v>T01: M50 | T02: DH</v>
      </c>
      <c r="E326" s="49" t="s">
        <v>228</v>
      </c>
      <c r="F326" s="23" t="s">
        <v>41</v>
      </c>
      <c r="G326" s="43">
        <v>181.81818181818178</v>
      </c>
      <c r="H326" s="43"/>
      <c r="I326" s="44">
        <v>44288</v>
      </c>
      <c r="J326" s="44"/>
      <c r="K326" s="44" t="s">
        <v>204</v>
      </c>
      <c r="L326" s="23"/>
    </row>
    <row r="327" spans="1:12">
      <c r="A327" s="23" t="s">
        <v>5</v>
      </c>
      <c r="B327" s="23" t="s">
        <v>348</v>
      </c>
      <c r="C327" s="23" t="s">
        <v>44</v>
      </c>
      <c r="D327" s="49" t="str">
        <f t="shared" ref="D327" si="25">"T01: M75 | T02: "&amp;E327</f>
        <v>T01: M75 | T02: DH</v>
      </c>
      <c r="E327" s="49" t="s">
        <v>228</v>
      </c>
      <c r="F327" s="23" t="s">
        <v>41</v>
      </c>
      <c r="G327" s="43">
        <v>185.71428571428572</v>
      </c>
      <c r="H327" s="43"/>
      <c r="I327" s="44">
        <v>44288</v>
      </c>
      <c r="J327" s="44"/>
      <c r="K327" s="44" t="s">
        <v>204</v>
      </c>
      <c r="L327" s="23"/>
    </row>
    <row r="328" spans="1:12">
      <c r="A328" s="23" t="s">
        <v>5</v>
      </c>
      <c r="B328" s="23" t="s">
        <v>350</v>
      </c>
      <c r="C328" s="23" t="s">
        <v>58</v>
      </c>
      <c r="D328" s="49" t="str">
        <f>"T01: M50 | T02: "&amp;E328</f>
        <v>T01: M50 | T02: DH</v>
      </c>
      <c r="E328" s="49" t="s">
        <v>228</v>
      </c>
      <c r="F328" s="23" t="s">
        <v>41</v>
      </c>
      <c r="G328" s="43">
        <v>188.3116883116883</v>
      </c>
      <c r="H328" s="43"/>
      <c r="I328" s="44">
        <v>44565</v>
      </c>
      <c r="J328" s="44"/>
      <c r="K328" s="44" t="s">
        <v>204</v>
      </c>
      <c r="L328" s="23"/>
    </row>
    <row r="329" spans="1:12">
      <c r="A329" s="23" t="s">
        <v>5</v>
      </c>
      <c r="B329" s="23" t="s">
        <v>350</v>
      </c>
      <c r="C329" s="23" t="s">
        <v>44</v>
      </c>
      <c r="D329" s="49" t="str">
        <f t="shared" ref="D329" si="26">"T01: M75 | T02: "&amp;E329</f>
        <v>T01: M75 | T02: DH</v>
      </c>
      <c r="E329" s="49" t="s">
        <v>228</v>
      </c>
      <c r="F329" s="23" t="s">
        <v>41</v>
      </c>
      <c r="G329" s="43">
        <v>192.20779220779218</v>
      </c>
      <c r="H329" s="43"/>
      <c r="I329" s="44">
        <v>44565</v>
      </c>
      <c r="J329" s="44"/>
      <c r="K329" s="44" t="s">
        <v>204</v>
      </c>
      <c r="L329" s="23"/>
    </row>
    <row r="330" spans="1:12">
      <c r="A330" s="23" t="s">
        <v>5</v>
      </c>
      <c r="B330" s="23" t="s">
        <v>350</v>
      </c>
      <c r="C330" s="23" t="s">
        <v>58</v>
      </c>
      <c r="D330" s="49" t="str">
        <f>"T01: M50 | T02: "&amp;E330</f>
        <v>T01: M50 | T02: DHG</v>
      </c>
      <c r="E330" s="49" t="s">
        <v>243</v>
      </c>
      <c r="F330" s="23" t="s">
        <v>41</v>
      </c>
      <c r="G330" s="43">
        <v>194.80519480519479</v>
      </c>
      <c r="H330" s="43"/>
      <c r="I330" s="44">
        <v>44565</v>
      </c>
      <c r="J330" s="44"/>
      <c r="K330" s="44" t="s">
        <v>204</v>
      </c>
      <c r="L330" s="23"/>
    </row>
    <row r="331" spans="1:12">
      <c r="A331" s="23" t="s">
        <v>5</v>
      </c>
      <c r="B331" s="23" t="s">
        <v>350</v>
      </c>
      <c r="C331" s="23" t="s">
        <v>44</v>
      </c>
      <c r="D331" s="49" t="str">
        <f t="shared" ref="D331" si="27">"T01: M75 | T02: "&amp;E331</f>
        <v>T01: M75 | T02: DHG</v>
      </c>
      <c r="E331" s="49" t="s">
        <v>243</v>
      </c>
      <c r="F331" s="23" t="s">
        <v>41</v>
      </c>
      <c r="G331" s="43">
        <v>181.81818181818178</v>
      </c>
      <c r="H331" s="43"/>
      <c r="I331" s="44">
        <v>44565</v>
      </c>
      <c r="J331" s="44"/>
      <c r="K331" s="44" t="s">
        <v>204</v>
      </c>
      <c r="L331" s="23"/>
    </row>
    <row r="332" spans="1:12">
      <c r="A332" s="23" t="s">
        <v>6</v>
      </c>
      <c r="B332" s="23" t="s">
        <v>133</v>
      </c>
      <c r="C332" s="23" t="s">
        <v>28</v>
      </c>
      <c r="D332" s="49" t="str">
        <f t="shared" ref="D332:D347" si="28">"T01: PCB30 | T02: "&amp;E332&amp;" | T03: Xám"</f>
        <v>T01: PCB30 | T02: HL | T03: Xám</v>
      </c>
      <c r="E332" s="49" t="s">
        <v>267</v>
      </c>
      <c r="F332" s="23" t="s">
        <v>34</v>
      </c>
      <c r="G332" s="43">
        <v>138961.03896103895</v>
      </c>
      <c r="H332" s="43"/>
      <c r="I332" s="44">
        <v>44387</v>
      </c>
      <c r="J332" s="44"/>
      <c r="K332" s="44" t="s">
        <v>205</v>
      </c>
      <c r="L332" s="23"/>
    </row>
    <row r="333" spans="1:12">
      <c r="A333" s="23" t="s">
        <v>6</v>
      </c>
      <c r="B333" s="23" t="s">
        <v>133</v>
      </c>
      <c r="C333" s="23" t="s">
        <v>28</v>
      </c>
      <c r="D333" s="49" t="str">
        <f t="shared" si="28"/>
        <v>T01: PCB30 | T02: DHA | T03: Xám</v>
      </c>
      <c r="E333" s="49" t="s">
        <v>278</v>
      </c>
      <c r="F333" s="23" t="s">
        <v>34</v>
      </c>
      <c r="G333" s="43">
        <v>140259.74025974024</v>
      </c>
      <c r="H333" s="43"/>
      <c r="I333" s="44">
        <v>44387</v>
      </c>
      <c r="J333" s="44"/>
      <c r="K333" s="44" t="s">
        <v>205</v>
      </c>
      <c r="L333" s="23"/>
    </row>
    <row r="334" spans="1:12">
      <c r="A334" s="23" t="s">
        <v>6</v>
      </c>
      <c r="B334" s="23" t="s">
        <v>133</v>
      </c>
      <c r="C334" s="23" t="s">
        <v>28</v>
      </c>
      <c r="D334" s="49" t="str">
        <f t="shared" si="28"/>
        <v>T01: PCB30 | T02: VS | T03: Xám</v>
      </c>
      <c r="E334" s="49" t="s">
        <v>268</v>
      </c>
      <c r="F334" s="23" t="s">
        <v>34</v>
      </c>
      <c r="G334" s="43">
        <v>155844.15584415584</v>
      </c>
      <c r="H334" s="43"/>
      <c r="I334" s="44">
        <v>44387</v>
      </c>
      <c r="J334" s="44"/>
      <c r="K334" s="44" t="s">
        <v>205</v>
      </c>
      <c r="L334" s="23"/>
    </row>
    <row r="335" spans="1:12">
      <c r="A335" s="23" t="s">
        <v>6</v>
      </c>
      <c r="B335" s="23" t="s">
        <v>135</v>
      </c>
      <c r="C335" s="23" t="s">
        <v>28</v>
      </c>
      <c r="D335" s="49" t="str">
        <f t="shared" si="28"/>
        <v>T01: PCB30 | T02: HL | T03: Xám</v>
      </c>
      <c r="E335" s="49" t="s">
        <v>267</v>
      </c>
      <c r="F335" s="23" t="s">
        <v>34</v>
      </c>
      <c r="G335" s="43">
        <v>145454.54545454544</v>
      </c>
      <c r="H335" s="43"/>
      <c r="I335" s="44">
        <v>44378</v>
      </c>
      <c r="J335" s="44"/>
      <c r="K335" s="44" t="s">
        <v>205</v>
      </c>
      <c r="L335" s="23"/>
    </row>
    <row r="336" spans="1:12">
      <c r="A336" s="23" t="s">
        <v>6</v>
      </c>
      <c r="B336" s="23" t="s">
        <v>135</v>
      </c>
      <c r="C336" s="23" t="s">
        <v>28</v>
      </c>
      <c r="D336" s="49" t="str">
        <f t="shared" si="28"/>
        <v>T01: PCB30 | T02: HL | T03: Xám</v>
      </c>
      <c r="E336" s="49" t="s">
        <v>267</v>
      </c>
      <c r="F336" s="23" t="s">
        <v>34</v>
      </c>
      <c r="G336" s="43">
        <v>138961.03896103895</v>
      </c>
      <c r="H336" s="43"/>
      <c r="I336" s="44">
        <v>44387</v>
      </c>
      <c r="J336" s="44"/>
      <c r="K336" s="44" t="s">
        <v>205</v>
      </c>
      <c r="L336" s="23"/>
    </row>
    <row r="337" spans="1:12">
      <c r="A337" s="23" t="s">
        <v>6</v>
      </c>
      <c r="B337" s="23" t="s">
        <v>135</v>
      </c>
      <c r="C337" s="23" t="s">
        <v>28</v>
      </c>
      <c r="D337" s="49" t="str">
        <f t="shared" si="28"/>
        <v>T01: PCB30 | T02: DHA | T03: Xám</v>
      </c>
      <c r="E337" s="49" t="s">
        <v>278</v>
      </c>
      <c r="F337" s="23" t="s">
        <v>34</v>
      </c>
      <c r="G337" s="43">
        <v>144155.84415584416</v>
      </c>
      <c r="H337" s="43"/>
      <c r="I337" s="44">
        <v>44387</v>
      </c>
      <c r="J337" s="44"/>
      <c r="K337" s="44" t="s">
        <v>205</v>
      </c>
      <c r="L337" s="23"/>
    </row>
    <row r="338" spans="1:12">
      <c r="A338" s="23" t="s">
        <v>6</v>
      </c>
      <c r="B338" s="23" t="s">
        <v>135</v>
      </c>
      <c r="C338" s="23" t="s">
        <v>28</v>
      </c>
      <c r="D338" s="49" t="str">
        <f t="shared" si="28"/>
        <v>T01: PCB30 | T02: VS | T03: Xám</v>
      </c>
      <c r="E338" s="49" t="s">
        <v>268</v>
      </c>
      <c r="F338" s="23" t="s">
        <v>34</v>
      </c>
      <c r="G338" s="43">
        <v>149350.64935064936</v>
      </c>
      <c r="H338" s="43"/>
      <c r="I338" s="44">
        <v>44387</v>
      </c>
      <c r="J338" s="44"/>
      <c r="K338" s="44" t="s">
        <v>205</v>
      </c>
      <c r="L338" s="23"/>
    </row>
    <row r="339" spans="1:12">
      <c r="A339" s="23" t="s">
        <v>6</v>
      </c>
      <c r="B339" s="23" t="s">
        <v>127</v>
      </c>
      <c r="C339" s="23" t="s">
        <v>28</v>
      </c>
      <c r="D339" s="49" t="str">
        <f t="shared" si="28"/>
        <v>T01: PCB30 | T02: HL | T03: Xám</v>
      </c>
      <c r="E339" s="49" t="s">
        <v>267</v>
      </c>
      <c r="F339" s="23" t="s">
        <v>34</v>
      </c>
      <c r="G339" s="43">
        <v>137662.33766233764</v>
      </c>
      <c r="H339" s="43">
        <v>137662.33766233764</v>
      </c>
      <c r="I339" s="44">
        <v>44387</v>
      </c>
      <c r="J339" s="44"/>
      <c r="K339" s="44" t="s">
        <v>205</v>
      </c>
      <c r="L339" s="23"/>
    </row>
    <row r="340" spans="1:12">
      <c r="A340" s="23" t="s">
        <v>6</v>
      </c>
      <c r="B340" s="23" t="s">
        <v>127</v>
      </c>
      <c r="C340" s="23" t="s">
        <v>28</v>
      </c>
      <c r="D340" s="49" t="str">
        <f t="shared" si="28"/>
        <v>T01: PCB30 | T02: DHA | T03: Xám</v>
      </c>
      <c r="E340" s="49" t="s">
        <v>278</v>
      </c>
      <c r="F340" s="23" t="s">
        <v>34</v>
      </c>
      <c r="G340" s="43">
        <v>141558.44155844155</v>
      </c>
      <c r="H340" s="43">
        <v>141558.44155844155</v>
      </c>
      <c r="I340" s="44">
        <v>44387</v>
      </c>
      <c r="J340" s="44"/>
      <c r="K340" s="44" t="s">
        <v>205</v>
      </c>
      <c r="L340" s="23"/>
    </row>
    <row r="341" spans="1:12">
      <c r="A341" s="23" t="s">
        <v>6</v>
      </c>
      <c r="B341" s="23" t="s">
        <v>127</v>
      </c>
      <c r="C341" s="23" t="s">
        <v>28</v>
      </c>
      <c r="D341" s="49" t="str">
        <f t="shared" si="28"/>
        <v>T01: PCB30 | T02: VS | T03: Xám</v>
      </c>
      <c r="E341" s="49" t="s">
        <v>268</v>
      </c>
      <c r="F341" s="23" t="s">
        <v>34</v>
      </c>
      <c r="G341" s="43">
        <v>142207.7922077922</v>
      </c>
      <c r="H341" s="43">
        <v>142207.7922077922</v>
      </c>
      <c r="I341" s="44">
        <v>44387</v>
      </c>
      <c r="J341" s="44"/>
      <c r="K341" s="44" t="s">
        <v>205</v>
      </c>
      <c r="L341" s="23"/>
    </row>
    <row r="342" spans="1:12">
      <c r="A342" s="23" t="s">
        <v>6</v>
      </c>
      <c r="B342" s="23" t="s">
        <v>127</v>
      </c>
      <c r="C342" s="23" t="s">
        <v>28</v>
      </c>
      <c r="D342" s="49" t="str">
        <f t="shared" si="28"/>
        <v>T01: PCB30 | T02: HL | T03: Xám</v>
      </c>
      <c r="E342" s="49" t="s">
        <v>267</v>
      </c>
      <c r="F342" s="23" t="s">
        <v>34</v>
      </c>
      <c r="G342" s="43">
        <v>148051.94805194804</v>
      </c>
      <c r="H342" s="43"/>
      <c r="I342" s="44">
        <v>44489</v>
      </c>
      <c r="J342" s="44"/>
      <c r="K342" s="44" t="s">
        <v>205</v>
      </c>
      <c r="L342" s="23"/>
    </row>
    <row r="343" spans="1:12">
      <c r="A343" s="23" t="s">
        <v>6</v>
      </c>
      <c r="B343" s="23" t="s">
        <v>127</v>
      </c>
      <c r="C343" s="23" t="s">
        <v>28</v>
      </c>
      <c r="D343" s="49" t="str">
        <f t="shared" si="28"/>
        <v>T01: PCB30 | T02: HL | T03: Xám</v>
      </c>
      <c r="E343" s="49" t="s">
        <v>267</v>
      </c>
      <c r="F343" s="23" t="s">
        <v>34</v>
      </c>
      <c r="G343" s="43">
        <v>147402.5974025974</v>
      </c>
      <c r="H343" s="43">
        <v>147402.5974025974</v>
      </c>
      <c r="I343" s="44">
        <v>44495</v>
      </c>
      <c r="J343" s="44"/>
      <c r="K343" s="44" t="s">
        <v>205</v>
      </c>
      <c r="L343" s="23"/>
    </row>
    <row r="344" spans="1:12">
      <c r="A344" s="23" t="s">
        <v>211</v>
      </c>
      <c r="B344" s="23" t="s">
        <v>133</v>
      </c>
      <c r="C344" s="23" t="s">
        <v>28</v>
      </c>
      <c r="D344" s="49" t="str">
        <f t="shared" si="28"/>
        <v>T01: PCB30 | T02: HL | T03: Xám</v>
      </c>
      <c r="E344" s="49" t="s">
        <v>267</v>
      </c>
      <c r="F344" s="23" t="s">
        <v>34</v>
      </c>
      <c r="G344" s="43">
        <v>138961.03896103895</v>
      </c>
      <c r="H344" s="43">
        <v>138961.03896103895</v>
      </c>
      <c r="I344" s="44">
        <v>44348</v>
      </c>
      <c r="J344" s="44"/>
      <c r="K344" s="44" t="s">
        <v>205</v>
      </c>
      <c r="L344" s="23"/>
    </row>
    <row r="345" spans="1:12">
      <c r="A345" s="23" t="s">
        <v>212</v>
      </c>
      <c r="B345" s="23" t="s">
        <v>127</v>
      </c>
      <c r="C345" s="23" t="s">
        <v>28</v>
      </c>
      <c r="D345" s="49" t="str">
        <f t="shared" si="28"/>
        <v>T01: PCB30 | T02: HL | T03: Xám</v>
      </c>
      <c r="E345" s="49" t="s">
        <v>267</v>
      </c>
      <c r="F345" s="23" t="s">
        <v>34</v>
      </c>
      <c r="G345" s="43">
        <v>139610.3896103896</v>
      </c>
      <c r="H345" s="43">
        <v>139610.3896103896</v>
      </c>
      <c r="I345" s="44">
        <v>44348</v>
      </c>
      <c r="J345" s="44"/>
      <c r="K345" s="44" t="s">
        <v>205</v>
      </c>
      <c r="L345" s="23"/>
    </row>
    <row r="346" spans="1:12">
      <c r="A346" s="23" t="s">
        <v>210</v>
      </c>
      <c r="B346" s="23" t="s">
        <v>127</v>
      </c>
      <c r="C346" s="23" t="s">
        <v>28</v>
      </c>
      <c r="D346" s="49" t="str">
        <f t="shared" si="28"/>
        <v>T01: PCB30 | T02: VS | T03: Xám</v>
      </c>
      <c r="E346" s="49" t="s">
        <v>268</v>
      </c>
      <c r="F346" s="23" t="s">
        <v>34</v>
      </c>
      <c r="G346" s="43">
        <v>142207.7922077922</v>
      </c>
      <c r="H346" s="43">
        <v>142207.7922077922</v>
      </c>
      <c r="I346" s="44">
        <v>44348</v>
      </c>
      <c r="J346" s="44"/>
      <c r="K346" s="44" t="s">
        <v>205</v>
      </c>
      <c r="L346" s="23"/>
    </row>
    <row r="347" spans="1:12">
      <c r="A347" s="23" t="s">
        <v>210</v>
      </c>
      <c r="B347" s="23" t="s">
        <v>133</v>
      </c>
      <c r="C347" s="23" t="s">
        <v>28</v>
      </c>
      <c r="D347" s="49" t="str">
        <f t="shared" si="28"/>
        <v>T01: PCB30 | T02: DHA | T03: Xám</v>
      </c>
      <c r="E347" s="49" t="s">
        <v>278</v>
      </c>
      <c r="F347" s="23" t="s">
        <v>34</v>
      </c>
      <c r="G347" s="43">
        <v>140259.74025974024</v>
      </c>
      <c r="H347" s="43">
        <v>140259.74025974024</v>
      </c>
      <c r="I347" s="44">
        <v>44348</v>
      </c>
      <c r="J347" s="44"/>
      <c r="K347" s="44" t="s">
        <v>205</v>
      </c>
      <c r="L347" s="23"/>
    </row>
    <row r="348" spans="1:12">
      <c r="A348" s="23" t="s">
        <v>6</v>
      </c>
      <c r="B348" s="23" t="s">
        <v>121</v>
      </c>
      <c r="C348" s="23" t="s">
        <v>46</v>
      </c>
      <c r="D348" s="49" t="str">
        <f t="shared" ref="D348:D364" si="29">"T01: M50 | T02: "&amp;E348</f>
        <v>T01: M50 | T02: CD</v>
      </c>
      <c r="E348" s="49" t="s">
        <v>219</v>
      </c>
      <c r="F348" s="23" t="s">
        <v>41</v>
      </c>
      <c r="G348" s="43">
        <v>124.28571428571429</v>
      </c>
      <c r="H348" s="43">
        <v>124.28571428571429</v>
      </c>
      <c r="I348" s="44">
        <v>44370</v>
      </c>
      <c r="J348" s="44"/>
      <c r="K348" s="44" t="s">
        <v>205</v>
      </c>
      <c r="L348" s="23"/>
    </row>
    <row r="349" spans="1:12">
      <c r="A349" s="23" t="s">
        <v>6</v>
      </c>
      <c r="B349" s="23" t="s">
        <v>121</v>
      </c>
      <c r="C349" s="23" t="s">
        <v>46</v>
      </c>
      <c r="D349" s="49" t="str">
        <f t="shared" si="29"/>
        <v>T01: M50 | T02: HK</v>
      </c>
      <c r="E349" s="49" t="s">
        <v>224</v>
      </c>
      <c r="F349" s="23" t="s">
        <v>41</v>
      </c>
      <c r="G349" s="43">
        <v>121.42857142857143</v>
      </c>
      <c r="H349" s="43">
        <v>121.42857142857143</v>
      </c>
      <c r="I349" s="44">
        <v>44370</v>
      </c>
      <c r="J349" s="44"/>
      <c r="K349" s="44" t="s">
        <v>205</v>
      </c>
      <c r="L349" s="23"/>
    </row>
    <row r="350" spans="1:12">
      <c r="A350" s="23" t="s">
        <v>6</v>
      </c>
      <c r="B350" s="23" t="s">
        <v>121</v>
      </c>
      <c r="C350" s="23" t="s">
        <v>46</v>
      </c>
      <c r="D350" s="49" t="str">
        <f t="shared" si="29"/>
        <v>T01: M50 | T02: CD</v>
      </c>
      <c r="E350" s="49" t="s">
        <v>219</v>
      </c>
      <c r="F350" s="23" t="s">
        <v>41</v>
      </c>
      <c r="G350" s="43">
        <v>131.42857142857142</v>
      </c>
      <c r="H350" s="43">
        <v>131.42857142857142</v>
      </c>
      <c r="I350" s="44">
        <v>44530</v>
      </c>
      <c r="J350" s="44"/>
      <c r="K350" s="44" t="s">
        <v>205</v>
      </c>
      <c r="L350" s="23"/>
    </row>
    <row r="351" spans="1:12">
      <c r="A351" s="23" t="s">
        <v>6</v>
      </c>
      <c r="B351" s="23" t="s">
        <v>121</v>
      </c>
      <c r="C351" s="23" t="s">
        <v>46</v>
      </c>
      <c r="D351" s="49" t="str">
        <f t="shared" si="29"/>
        <v>T01: M50 | T02: HK</v>
      </c>
      <c r="E351" s="49" t="s">
        <v>224</v>
      </c>
      <c r="F351" s="23" t="s">
        <v>41</v>
      </c>
      <c r="G351" s="43">
        <v>128.57142857142858</v>
      </c>
      <c r="H351" s="43">
        <v>128.57142857142858</v>
      </c>
      <c r="I351" s="44">
        <v>44530</v>
      </c>
      <c r="J351" s="44"/>
      <c r="K351" s="44" t="s">
        <v>205</v>
      </c>
      <c r="L351" s="23"/>
    </row>
    <row r="352" spans="1:12">
      <c r="A352" s="23" t="s">
        <v>6</v>
      </c>
      <c r="B352" s="23" t="s">
        <v>125</v>
      </c>
      <c r="C352" s="23" t="s">
        <v>46</v>
      </c>
      <c r="D352" s="49" t="str">
        <f t="shared" si="29"/>
        <v>T01: M50 | T02: CD</v>
      </c>
      <c r="E352" s="49" t="s">
        <v>219</v>
      </c>
      <c r="F352" s="23" t="s">
        <v>41</v>
      </c>
      <c r="G352" s="43">
        <v>124.28571428571429</v>
      </c>
      <c r="H352" s="43">
        <v>124.28571428571429</v>
      </c>
      <c r="I352" s="44">
        <v>44370</v>
      </c>
      <c r="J352" s="44"/>
      <c r="K352" s="44" t="s">
        <v>205</v>
      </c>
      <c r="L352" s="23"/>
    </row>
    <row r="353" spans="1:12">
      <c r="A353" s="23" t="s">
        <v>6</v>
      </c>
      <c r="B353" s="23" t="s">
        <v>125</v>
      </c>
      <c r="C353" s="23" t="s">
        <v>46</v>
      </c>
      <c r="D353" s="49" t="str">
        <f t="shared" si="29"/>
        <v>T01: M50 | T02: HK</v>
      </c>
      <c r="E353" s="49" t="s">
        <v>224</v>
      </c>
      <c r="F353" s="23" t="s">
        <v>41</v>
      </c>
      <c r="G353" s="43">
        <v>121.42857142857143</v>
      </c>
      <c r="H353" s="43">
        <v>121.42857142857143</v>
      </c>
      <c r="I353" s="44">
        <v>44370</v>
      </c>
      <c r="J353" s="44"/>
      <c r="K353" s="44" t="s">
        <v>205</v>
      </c>
      <c r="L353" s="23"/>
    </row>
    <row r="354" spans="1:12">
      <c r="A354" s="23" t="s">
        <v>6</v>
      </c>
      <c r="B354" s="23" t="s">
        <v>125</v>
      </c>
      <c r="C354" s="23" t="s">
        <v>46</v>
      </c>
      <c r="D354" s="49" t="str">
        <f t="shared" si="29"/>
        <v>T01: M50 | T02: CD</v>
      </c>
      <c r="E354" s="49" t="s">
        <v>219</v>
      </c>
      <c r="F354" s="23" t="s">
        <v>41</v>
      </c>
      <c r="G354" s="43">
        <v>131.42857142857142</v>
      </c>
      <c r="H354" s="43">
        <v>131.42857142857142</v>
      </c>
      <c r="I354" s="44">
        <v>44530</v>
      </c>
      <c r="J354" s="44"/>
      <c r="K354" s="44" t="s">
        <v>205</v>
      </c>
      <c r="L354" s="23"/>
    </row>
    <row r="355" spans="1:12">
      <c r="A355" s="23" t="s">
        <v>6</v>
      </c>
      <c r="B355" s="23" t="s">
        <v>125</v>
      </c>
      <c r="C355" s="23" t="s">
        <v>46</v>
      </c>
      <c r="D355" s="49" t="str">
        <f t="shared" si="29"/>
        <v>T01: M50 | T02: HK</v>
      </c>
      <c r="E355" s="49" t="s">
        <v>224</v>
      </c>
      <c r="F355" s="23" t="s">
        <v>41</v>
      </c>
      <c r="G355" s="43">
        <v>125.71428571428571</v>
      </c>
      <c r="H355" s="43">
        <v>125.71428571428571</v>
      </c>
      <c r="I355" s="44">
        <v>44530</v>
      </c>
      <c r="J355" s="44"/>
      <c r="K355" s="44" t="s">
        <v>205</v>
      </c>
      <c r="L355" s="23"/>
    </row>
    <row r="356" spans="1:12">
      <c r="A356" s="23" t="s">
        <v>6</v>
      </c>
      <c r="B356" s="23" t="s">
        <v>119</v>
      </c>
      <c r="C356" s="23" t="s">
        <v>46</v>
      </c>
      <c r="D356" s="49" t="str">
        <f t="shared" si="29"/>
        <v>T01: M50 | T02: CD</v>
      </c>
      <c r="E356" s="49" t="s">
        <v>219</v>
      </c>
      <c r="F356" s="23" t="s">
        <v>41</v>
      </c>
      <c r="G356" s="43">
        <v>124.28571428571429</v>
      </c>
      <c r="H356" s="43">
        <v>124.28571428571429</v>
      </c>
      <c r="I356" s="44">
        <v>44370</v>
      </c>
      <c r="J356" s="44"/>
      <c r="K356" s="44" t="s">
        <v>205</v>
      </c>
      <c r="L356" s="23"/>
    </row>
    <row r="357" spans="1:12">
      <c r="A357" s="23" t="s">
        <v>6</v>
      </c>
      <c r="B357" s="23" t="s">
        <v>119</v>
      </c>
      <c r="C357" s="23" t="s">
        <v>46</v>
      </c>
      <c r="D357" s="49" t="str">
        <f t="shared" si="29"/>
        <v>T01: M50 | T02: HK</v>
      </c>
      <c r="E357" s="49" t="s">
        <v>224</v>
      </c>
      <c r="F357" s="23" t="s">
        <v>41</v>
      </c>
      <c r="G357" s="43">
        <v>121.42857142857143</v>
      </c>
      <c r="H357" s="43">
        <v>121.42857142857143</v>
      </c>
      <c r="I357" s="44">
        <v>44370</v>
      </c>
      <c r="J357" s="44"/>
      <c r="K357" s="44" t="s">
        <v>205</v>
      </c>
      <c r="L357" s="23"/>
    </row>
    <row r="358" spans="1:12">
      <c r="A358" s="23" t="s">
        <v>6</v>
      </c>
      <c r="B358" s="23" t="s">
        <v>119</v>
      </c>
      <c r="C358" s="23" t="s">
        <v>46</v>
      </c>
      <c r="D358" s="49" t="str">
        <f t="shared" si="29"/>
        <v>T01: M50 | T02: CD</v>
      </c>
      <c r="E358" s="49" t="s">
        <v>219</v>
      </c>
      <c r="F358" s="23" t="s">
        <v>41</v>
      </c>
      <c r="G358" s="43">
        <v>127.14285714285714</v>
      </c>
      <c r="H358" s="43">
        <v>127.14285714285714</v>
      </c>
      <c r="I358" s="44">
        <v>44530</v>
      </c>
      <c r="J358" s="44"/>
      <c r="K358" s="44" t="s">
        <v>205</v>
      </c>
      <c r="L358" s="23"/>
    </row>
    <row r="359" spans="1:12">
      <c r="A359" s="23" t="s">
        <v>6</v>
      </c>
      <c r="B359" s="23" t="s">
        <v>119</v>
      </c>
      <c r="C359" s="23" t="s">
        <v>46</v>
      </c>
      <c r="D359" s="49" t="str">
        <f t="shared" si="29"/>
        <v>T01: M50 | T02: HK</v>
      </c>
      <c r="E359" s="49" t="s">
        <v>224</v>
      </c>
      <c r="F359" s="23" t="s">
        <v>41</v>
      </c>
      <c r="G359" s="43">
        <v>124.28571428571429</v>
      </c>
      <c r="H359" s="43">
        <v>124.28571428571429</v>
      </c>
      <c r="I359" s="44">
        <v>44530</v>
      </c>
      <c r="J359" s="44"/>
      <c r="K359" s="44" t="s">
        <v>205</v>
      </c>
      <c r="L359" s="23"/>
    </row>
    <row r="360" spans="1:12">
      <c r="A360" s="23" t="s">
        <v>6</v>
      </c>
      <c r="B360" s="23" t="s">
        <v>127</v>
      </c>
      <c r="C360" s="23" t="s">
        <v>46</v>
      </c>
      <c r="D360" s="49" t="str">
        <f t="shared" si="29"/>
        <v>T01: M50 | T02: CD</v>
      </c>
      <c r="E360" s="49" t="s">
        <v>219</v>
      </c>
      <c r="F360" s="23" t="s">
        <v>41</v>
      </c>
      <c r="G360" s="43">
        <v>131.42857142857142</v>
      </c>
      <c r="H360" s="43"/>
      <c r="I360" s="44">
        <v>44370</v>
      </c>
      <c r="J360" s="44"/>
      <c r="K360" s="44" t="s">
        <v>205</v>
      </c>
      <c r="L360" s="23"/>
    </row>
    <row r="361" spans="1:12">
      <c r="A361" s="23" t="s">
        <v>6</v>
      </c>
      <c r="B361" s="23" t="s">
        <v>127</v>
      </c>
      <c r="C361" s="23" t="s">
        <v>46</v>
      </c>
      <c r="D361" s="49" t="str">
        <f t="shared" si="29"/>
        <v>T01: M50 | T02: HK</v>
      </c>
      <c r="E361" s="49" t="s">
        <v>224</v>
      </c>
      <c r="F361" s="23" t="s">
        <v>41</v>
      </c>
      <c r="G361" s="43">
        <v>121.42857142857143</v>
      </c>
      <c r="H361" s="43"/>
      <c r="I361" s="44">
        <v>44370</v>
      </c>
      <c r="J361" s="44"/>
      <c r="K361" s="44" t="s">
        <v>205</v>
      </c>
      <c r="L361" s="23"/>
    </row>
    <row r="362" spans="1:12">
      <c r="A362" s="23" t="s">
        <v>6</v>
      </c>
      <c r="B362" s="23" t="s">
        <v>351</v>
      </c>
      <c r="C362" s="23" t="s">
        <v>46</v>
      </c>
      <c r="D362" s="49" t="str">
        <f t="shared" si="29"/>
        <v>T01: M50 | T02: HK</v>
      </c>
      <c r="E362" s="49" t="s">
        <v>224</v>
      </c>
      <c r="F362" s="23" t="s">
        <v>41</v>
      </c>
      <c r="G362" s="43">
        <v>125.71428571428571</v>
      </c>
      <c r="H362" s="43"/>
      <c r="I362" s="44">
        <v>44370</v>
      </c>
      <c r="J362" s="44"/>
      <c r="K362" s="44" t="s">
        <v>205</v>
      </c>
      <c r="L362" s="23"/>
    </row>
    <row r="363" spans="1:12">
      <c r="A363" s="23" t="s">
        <v>7</v>
      </c>
      <c r="B363" s="23" t="s">
        <v>125</v>
      </c>
      <c r="C363" s="23" t="s">
        <v>46</v>
      </c>
      <c r="D363" s="49" t="str">
        <f t="shared" si="29"/>
        <v>T01: M50 | T02: CD</v>
      </c>
      <c r="E363" s="49" t="s">
        <v>219</v>
      </c>
      <c r="F363" s="23" t="s">
        <v>41</v>
      </c>
      <c r="G363" s="43">
        <v>124.28571428571429</v>
      </c>
      <c r="H363" s="43">
        <v>124.28571428571429</v>
      </c>
      <c r="I363" s="44">
        <v>44362</v>
      </c>
      <c r="J363" s="44"/>
      <c r="K363" s="44" t="s">
        <v>205</v>
      </c>
      <c r="L363" s="23"/>
    </row>
    <row r="364" spans="1:12">
      <c r="A364" s="23" t="s">
        <v>7</v>
      </c>
      <c r="B364" s="23" t="s">
        <v>125</v>
      </c>
      <c r="C364" s="23" t="s">
        <v>46</v>
      </c>
      <c r="D364" s="49" t="str">
        <f t="shared" si="29"/>
        <v>T01: M50 | T02: HK</v>
      </c>
      <c r="E364" s="49" t="s">
        <v>224</v>
      </c>
      <c r="F364" s="23" t="s">
        <v>41</v>
      </c>
      <c r="G364" s="43">
        <v>121.42857142857143</v>
      </c>
      <c r="H364" s="43">
        <v>121.42857142857143</v>
      </c>
      <c r="I364" s="44">
        <v>44362</v>
      </c>
      <c r="J364" s="44"/>
      <c r="K364" s="44" t="s">
        <v>205</v>
      </c>
      <c r="L364" s="23"/>
    </row>
  </sheetData>
  <autoFilter ref="A2:L364" xr:uid="{01C39368-09AE-4BBB-B282-7116E93A9F53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482D-1165-4693-9848-4B7815745D78}">
  <sheetPr codeName="Sheet1">
    <tabColor rgb="FFFFFF00"/>
    <outlinePr summaryBelow="0" summaryRight="0"/>
    <pageSetUpPr fitToPage="1"/>
  </sheetPr>
  <dimension ref="A1:V41"/>
  <sheetViews>
    <sheetView view="pageBreakPreview" zoomScaleNormal="100" zoomScaleSheetLayoutView="100" zoomScalePageLayoutView="130" workbookViewId="0">
      <selection activeCell="G11" sqref="G11"/>
    </sheetView>
  </sheetViews>
  <sheetFormatPr defaultColWidth="9.33203125" defaultRowHeight="15.6" outlineLevelRow="1"/>
  <cols>
    <col min="1" max="1" width="3.33203125" style="56" bestFit="1" customWidth="1"/>
    <col min="2" max="2" width="5.109375" style="56" customWidth="1"/>
    <col min="3" max="3" width="31.77734375" style="56" customWidth="1"/>
    <col min="4" max="4" width="7.33203125" style="108" customWidth="1"/>
    <col min="5" max="5" width="10.77734375" style="109" customWidth="1"/>
    <col min="6" max="6" width="11.77734375" style="109" customWidth="1"/>
    <col min="7" max="7" width="19.109375" style="109" customWidth="1"/>
    <col min="8" max="10" width="11.109375" style="109" customWidth="1"/>
    <col min="11" max="12" width="10" style="111" customWidth="1"/>
    <col min="13" max="13" width="19.44140625" style="111" customWidth="1"/>
    <col min="14" max="15" width="9.44140625" style="111" customWidth="1"/>
    <col min="16" max="16" width="18.44140625" style="109" customWidth="1"/>
    <col min="17" max="18" width="9.33203125" style="109" customWidth="1"/>
    <col min="19" max="19" width="19.21875" style="111" customWidth="1"/>
    <col min="20" max="20" width="26.109375" style="109" customWidth="1"/>
    <col min="21" max="21" width="14.33203125" style="55" bestFit="1" customWidth="1"/>
    <col min="22" max="22" width="12" style="55" bestFit="1" customWidth="1"/>
    <col min="23" max="23" width="12" style="56" bestFit="1" customWidth="1"/>
    <col min="24" max="262" width="9.33203125" style="56"/>
    <col min="263" max="263" width="3.33203125" style="56" bestFit="1" customWidth="1"/>
    <col min="264" max="264" width="5.109375" style="56" customWidth="1"/>
    <col min="265" max="265" width="31.77734375" style="56" customWidth="1"/>
    <col min="266" max="266" width="7.33203125" style="56" customWidth="1"/>
    <col min="267" max="267" width="10.77734375" style="56" customWidth="1"/>
    <col min="268" max="268" width="11.77734375" style="56" customWidth="1"/>
    <col min="269" max="269" width="19.109375" style="56" customWidth="1"/>
    <col min="270" max="270" width="10" style="56" customWidth="1"/>
    <col min="271" max="271" width="19.44140625" style="56" customWidth="1"/>
    <col min="272" max="272" width="9.44140625" style="56" customWidth="1"/>
    <col min="273" max="273" width="18.44140625" style="56" customWidth="1"/>
    <col min="274" max="274" width="9.33203125" style="56"/>
    <col min="275" max="275" width="19.21875" style="56" customWidth="1"/>
    <col min="276" max="276" width="26.109375" style="56" customWidth="1"/>
    <col min="277" max="277" width="14.33203125" style="56" bestFit="1" customWidth="1"/>
    <col min="278" max="279" width="12" style="56" bestFit="1" customWidth="1"/>
    <col min="280" max="518" width="9.33203125" style="56"/>
    <col min="519" max="519" width="3.33203125" style="56" bestFit="1" customWidth="1"/>
    <col min="520" max="520" width="5.109375" style="56" customWidth="1"/>
    <col min="521" max="521" width="31.77734375" style="56" customWidth="1"/>
    <col min="522" max="522" width="7.33203125" style="56" customWidth="1"/>
    <col min="523" max="523" width="10.77734375" style="56" customWidth="1"/>
    <col min="524" max="524" width="11.77734375" style="56" customWidth="1"/>
    <col min="525" max="525" width="19.109375" style="56" customWidth="1"/>
    <col min="526" max="526" width="10" style="56" customWidth="1"/>
    <col min="527" max="527" width="19.44140625" style="56" customWidth="1"/>
    <col min="528" max="528" width="9.44140625" style="56" customWidth="1"/>
    <col min="529" max="529" width="18.44140625" style="56" customWidth="1"/>
    <col min="530" max="530" width="9.33203125" style="56"/>
    <col min="531" max="531" width="19.21875" style="56" customWidth="1"/>
    <col min="532" max="532" width="26.109375" style="56" customWidth="1"/>
    <col min="533" max="533" width="14.33203125" style="56" bestFit="1" customWidth="1"/>
    <col min="534" max="535" width="12" style="56" bestFit="1" customWidth="1"/>
    <col min="536" max="774" width="9.33203125" style="56"/>
    <col min="775" max="775" width="3.33203125" style="56" bestFit="1" customWidth="1"/>
    <col min="776" max="776" width="5.109375" style="56" customWidth="1"/>
    <col min="777" max="777" width="31.77734375" style="56" customWidth="1"/>
    <col min="778" max="778" width="7.33203125" style="56" customWidth="1"/>
    <col min="779" max="779" width="10.77734375" style="56" customWidth="1"/>
    <col min="780" max="780" width="11.77734375" style="56" customWidth="1"/>
    <col min="781" max="781" width="19.109375" style="56" customWidth="1"/>
    <col min="782" max="782" width="10" style="56" customWidth="1"/>
    <col min="783" max="783" width="19.44140625" style="56" customWidth="1"/>
    <col min="784" max="784" width="9.44140625" style="56" customWidth="1"/>
    <col min="785" max="785" width="18.44140625" style="56" customWidth="1"/>
    <col min="786" max="786" width="9.33203125" style="56"/>
    <col min="787" max="787" width="19.21875" style="56" customWidth="1"/>
    <col min="788" max="788" width="26.109375" style="56" customWidth="1"/>
    <col min="789" max="789" width="14.33203125" style="56" bestFit="1" customWidth="1"/>
    <col min="790" max="791" width="12" style="56" bestFit="1" customWidth="1"/>
    <col min="792" max="1030" width="9.33203125" style="56"/>
    <col min="1031" max="1031" width="3.33203125" style="56" bestFit="1" customWidth="1"/>
    <col min="1032" max="1032" width="5.109375" style="56" customWidth="1"/>
    <col min="1033" max="1033" width="31.77734375" style="56" customWidth="1"/>
    <col min="1034" max="1034" width="7.33203125" style="56" customWidth="1"/>
    <col min="1035" max="1035" width="10.77734375" style="56" customWidth="1"/>
    <col min="1036" max="1036" width="11.77734375" style="56" customWidth="1"/>
    <col min="1037" max="1037" width="19.109375" style="56" customWidth="1"/>
    <col min="1038" max="1038" width="10" style="56" customWidth="1"/>
    <col min="1039" max="1039" width="19.44140625" style="56" customWidth="1"/>
    <col min="1040" max="1040" width="9.44140625" style="56" customWidth="1"/>
    <col min="1041" max="1041" width="18.44140625" style="56" customWidth="1"/>
    <col min="1042" max="1042" width="9.33203125" style="56"/>
    <col min="1043" max="1043" width="19.21875" style="56" customWidth="1"/>
    <col min="1044" max="1044" width="26.109375" style="56" customWidth="1"/>
    <col min="1045" max="1045" width="14.33203125" style="56" bestFit="1" customWidth="1"/>
    <col min="1046" max="1047" width="12" style="56" bestFit="1" customWidth="1"/>
    <col min="1048" max="1286" width="9.33203125" style="56"/>
    <col min="1287" max="1287" width="3.33203125" style="56" bestFit="1" customWidth="1"/>
    <col min="1288" max="1288" width="5.109375" style="56" customWidth="1"/>
    <col min="1289" max="1289" width="31.77734375" style="56" customWidth="1"/>
    <col min="1290" max="1290" width="7.33203125" style="56" customWidth="1"/>
    <col min="1291" max="1291" width="10.77734375" style="56" customWidth="1"/>
    <col min="1292" max="1292" width="11.77734375" style="56" customWidth="1"/>
    <col min="1293" max="1293" width="19.109375" style="56" customWidth="1"/>
    <col min="1294" max="1294" width="10" style="56" customWidth="1"/>
    <col min="1295" max="1295" width="19.44140625" style="56" customWidth="1"/>
    <col min="1296" max="1296" width="9.44140625" style="56" customWidth="1"/>
    <col min="1297" max="1297" width="18.44140625" style="56" customWidth="1"/>
    <col min="1298" max="1298" width="9.33203125" style="56"/>
    <col min="1299" max="1299" width="19.21875" style="56" customWidth="1"/>
    <col min="1300" max="1300" width="26.109375" style="56" customWidth="1"/>
    <col min="1301" max="1301" width="14.33203125" style="56" bestFit="1" customWidth="1"/>
    <col min="1302" max="1303" width="12" style="56" bestFit="1" customWidth="1"/>
    <col min="1304" max="1542" width="9.33203125" style="56"/>
    <col min="1543" max="1543" width="3.33203125" style="56" bestFit="1" customWidth="1"/>
    <col min="1544" max="1544" width="5.109375" style="56" customWidth="1"/>
    <col min="1545" max="1545" width="31.77734375" style="56" customWidth="1"/>
    <col min="1546" max="1546" width="7.33203125" style="56" customWidth="1"/>
    <col min="1547" max="1547" width="10.77734375" style="56" customWidth="1"/>
    <col min="1548" max="1548" width="11.77734375" style="56" customWidth="1"/>
    <col min="1549" max="1549" width="19.109375" style="56" customWidth="1"/>
    <col min="1550" max="1550" width="10" style="56" customWidth="1"/>
    <col min="1551" max="1551" width="19.44140625" style="56" customWidth="1"/>
    <col min="1552" max="1552" width="9.44140625" style="56" customWidth="1"/>
    <col min="1553" max="1553" width="18.44140625" style="56" customWidth="1"/>
    <col min="1554" max="1554" width="9.33203125" style="56"/>
    <col min="1555" max="1555" width="19.21875" style="56" customWidth="1"/>
    <col min="1556" max="1556" width="26.109375" style="56" customWidth="1"/>
    <col min="1557" max="1557" width="14.33203125" style="56" bestFit="1" customWidth="1"/>
    <col min="1558" max="1559" width="12" style="56" bestFit="1" customWidth="1"/>
    <col min="1560" max="1798" width="9.33203125" style="56"/>
    <col min="1799" max="1799" width="3.33203125" style="56" bestFit="1" customWidth="1"/>
    <col min="1800" max="1800" width="5.109375" style="56" customWidth="1"/>
    <col min="1801" max="1801" width="31.77734375" style="56" customWidth="1"/>
    <col min="1802" max="1802" width="7.33203125" style="56" customWidth="1"/>
    <col min="1803" max="1803" width="10.77734375" style="56" customWidth="1"/>
    <col min="1804" max="1804" width="11.77734375" style="56" customWidth="1"/>
    <col min="1805" max="1805" width="19.109375" style="56" customWidth="1"/>
    <col min="1806" max="1806" width="10" style="56" customWidth="1"/>
    <col min="1807" max="1807" width="19.44140625" style="56" customWidth="1"/>
    <col min="1808" max="1808" width="9.44140625" style="56" customWidth="1"/>
    <col min="1809" max="1809" width="18.44140625" style="56" customWidth="1"/>
    <col min="1810" max="1810" width="9.33203125" style="56"/>
    <col min="1811" max="1811" width="19.21875" style="56" customWidth="1"/>
    <col min="1812" max="1812" width="26.109375" style="56" customWidth="1"/>
    <col min="1813" max="1813" width="14.33203125" style="56" bestFit="1" customWidth="1"/>
    <col min="1814" max="1815" width="12" style="56" bestFit="1" customWidth="1"/>
    <col min="1816" max="2054" width="9.33203125" style="56"/>
    <col min="2055" max="2055" width="3.33203125" style="56" bestFit="1" customWidth="1"/>
    <col min="2056" max="2056" width="5.109375" style="56" customWidth="1"/>
    <col min="2057" max="2057" width="31.77734375" style="56" customWidth="1"/>
    <col min="2058" max="2058" width="7.33203125" style="56" customWidth="1"/>
    <col min="2059" max="2059" width="10.77734375" style="56" customWidth="1"/>
    <col min="2060" max="2060" width="11.77734375" style="56" customWidth="1"/>
    <col min="2061" max="2061" width="19.109375" style="56" customWidth="1"/>
    <col min="2062" max="2062" width="10" style="56" customWidth="1"/>
    <col min="2063" max="2063" width="19.44140625" style="56" customWidth="1"/>
    <col min="2064" max="2064" width="9.44140625" style="56" customWidth="1"/>
    <col min="2065" max="2065" width="18.44140625" style="56" customWidth="1"/>
    <col min="2066" max="2066" width="9.33203125" style="56"/>
    <col min="2067" max="2067" width="19.21875" style="56" customWidth="1"/>
    <col min="2068" max="2068" width="26.109375" style="56" customWidth="1"/>
    <col min="2069" max="2069" width="14.33203125" style="56" bestFit="1" customWidth="1"/>
    <col min="2070" max="2071" width="12" style="56" bestFit="1" customWidth="1"/>
    <col min="2072" max="2310" width="9.33203125" style="56"/>
    <col min="2311" max="2311" width="3.33203125" style="56" bestFit="1" customWidth="1"/>
    <col min="2312" max="2312" width="5.109375" style="56" customWidth="1"/>
    <col min="2313" max="2313" width="31.77734375" style="56" customWidth="1"/>
    <col min="2314" max="2314" width="7.33203125" style="56" customWidth="1"/>
    <col min="2315" max="2315" width="10.77734375" style="56" customWidth="1"/>
    <col min="2316" max="2316" width="11.77734375" style="56" customWidth="1"/>
    <col min="2317" max="2317" width="19.109375" style="56" customWidth="1"/>
    <col min="2318" max="2318" width="10" style="56" customWidth="1"/>
    <col min="2319" max="2319" width="19.44140625" style="56" customWidth="1"/>
    <col min="2320" max="2320" width="9.44140625" style="56" customWidth="1"/>
    <col min="2321" max="2321" width="18.44140625" style="56" customWidth="1"/>
    <col min="2322" max="2322" width="9.33203125" style="56"/>
    <col min="2323" max="2323" width="19.21875" style="56" customWidth="1"/>
    <col min="2324" max="2324" width="26.109375" style="56" customWidth="1"/>
    <col min="2325" max="2325" width="14.33203125" style="56" bestFit="1" customWidth="1"/>
    <col min="2326" max="2327" width="12" style="56" bestFit="1" customWidth="1"/>
    <col min="2328" max="2566" width="9.33203125" style="56"/>
    <col min="2567" max="2567" width="3.33203125" style="56" bestFit="1" customWidth="1"/>
    <col min="2568" max="2568" width="5.109375" style="56" customWidth="1"/>
    <col min="2569" max="2569" width="31.77734375" style="56" customWidth="1"/>
    <col min="2570" max="2570" width="7.33203125" style="56" customWidth="1"/>
    <col min="2571" max="2571" width="10.77734375" style="56" customWidth="1"/>
    <col min="2572" max="2572" width="11.77734375" style="56" customWidth="1"/>
    <col min="2573" max="2573" width="19.109375" style="56" customWidth="1"/>
    <col min="2574" max="2574" width="10" style="56" customWidth="1"/>
    <col min="2575" max="2575" width="19.44140625" style="56" customWidth="1"/>
    <col min="2576" max="2576" width="9.44140625" style="56" customWidth="1"/>
    <col min="2577" max="2577" width="18.44140625" style="56" customWidth="1"/>
    <col min="2578" max="2578" width="9.33203125" style="56"/>
    <col min="2579" max="2579" width="19.21875" style="56" customWidth="1"/>
    <col min="2580" max="2580" width="26.109375" style="56" customWidth="1"/>
    <col min="2581" max="2581" width="14.33203125" style="56" bestFit="1" customWidth="1"/>
    <col min="2582" max="2583" width="12" style="56" bestFit="1" customWidth="1"/>
    <col min="2584" max="2822" width="9.33203125" style="56"/>
    <col min="2823" max="2823" width="3.33203125" style="56" bestFit="1" customWidth="1"/>
    <col min="2824" max="2824" width="5.109375" style="56" customWidth="1"/>
    <col min="2825" max="2825" width="31.77734375" style="56" customWidth="1"/>
    <col min="2826" max="2826" width="7.33203125" style="56" customWidth="1"/>
    <col min="2827" max="2827" width="10.77734375" style="56" customWidth="1"/>
    <col min="2828" max="2828" width="11.77734375" style="56" customWidth="1"/>
    <col min="2829" max="2829" width="19.109375" style="56" customWidth="1"/>
    <col min="2830" max="2830" width="10" style="56" customWidth="1"/>
    <col min="2831" max="2831" width="19.44140625" style="56" customWidth="1"/>
    <col min="2832" max="2832" width="9.44140625" style="56" customWidth="1"/>
    <col min="2833" max="2833" width="18.44140625" style="56" customWidth="1"/>
    <col min="2834" max="2834" width="9.33203125" style="56"/>
    <col min="2835" max="2835" width="19.21875" style="56" customWidth="1"/>
    <col min="2836" max="2836" width="26.109375" style="56" customWidth="1"/>
    <col min="2837" max="2837" width="14.33203125" style="56" bestFit="1" customWidth="1"/>
    <col min="2838" max="2839" width="12" style="56" bestFit="1" customWidth="1"/>
    <col min="2840" max="3078" width="9.33203125" style="56"/>
    <col min="3079" max="3079" width="3.33203125" style="56" bestFit="1" customWidth="1"/>
    <col min="3080" max="3080" width="5.109375" style="56" customWidth="1"/>
    <col min="3081" max="3081" width="31.77734375" style="56" customWidth="1"/>
    <col min="3082" max="3082" width="7.33203125" style="56" customWidth="1"/>
    <col min="3083" max="3083" width="10.77734375" style="56" customWidth="1"/>
    <col min="3084" max="3084" width="11.77734375" style="56" customWidth="1"/>
    <col min="3085" max="3085" width="19.109375" style="56" customWidth="1"/>
    <col min="3086" max="3086" width="10" style="56" customWidth="1"/>
    <col min="3087" max="3087" width="19.44140625" style="56" customWidth="1"/>
    <col min="3088" max="3088" width="9.44140625" style="56" customWidth="1"/>
    <col min="3089" max="3089" width="18.44140625" style="56" customWidth="1"/>
    <col min="3090" max="3090" width="9.33203125" style="56"/>
    <col min="3091" max="3091" width="19.21875" style="56" customWidth="1"/>
    <col min="3092" max="3092" width="26.109375" style="56" customWidth="1"/>
    <col min="3093" max="3093" width="14.33203125" style="56" bestFit="1" customWidth="1"/>
    <col min="3094" max="3095" width="12" style="56" bestFit="1" customWidth="1"/>
    <col min="3096" max="3334" width="9.33203125" style="56"/>
    <col min="3335" max="3335" width="3.33203125" style="56" bestFit="1" customWidth="1"/>
    <col min="3336" max="3336" width="5.109375" style="56" customWidth="1"/>
    <col min="3337" max="3337" width="31.77734375" style="56" customWidth="1"/>
    <col min="3338" max="3338" width="7.33203125" style="56" customWidth="1"/>
    <col min="3339" max="3339" width="10.77734375" style="56" customWidth="1"/>
    <col min="3340" max="3340" width="11.77734375" style="56" customWidth="1"/>
    <col min="3341" max="3341" width="19.109375" style="56" customWidth="1"/>
    <col min="3342" max="3342" width="10" style="56" customWidth="1"/>
    <col min="3343" max="3343" width="19.44140625" style="56" customWidth="1"/>
    <col min="3344" max="3344" width="9.44140625" style="56" customWidth="1"/>
    <col min="3345" max="3345" width="18.44140625" style="56" customWidth="1"/>
    <col min="3346" max="3346" width="9.33203125" style="56"/>
    <col min="3347" max="3347" width="19.21875" style="56" customWidth="1"/>
    <col min="3348" max="3348" width="26.109375" style="56" customWidth="1"/>
    <col min="3349" max="3349" width="14.33203125" style="56" bestFit="1" customWidth="1"/>
    <col min="3350" max="3351" width="12" style="56" bestFit="1" customWidth="1"/>
    <col min="3352" max="3590" width="9.33203125" style="56"/>
    <col min="3591" max="3591" width="3.33203125" style="56" bestFit="1" customWidth="1"/>
    <col min="3592" max="3592" width="5.109375" style="56" customWidth="1"/>
    <col min="3593" max="3593" width="31.77734375" style="56" customWidth="1"/>
    <col min="3594" max="3594" width="7.33203125" style="56" customWidth="1"/>
    <col min="3595" max="3595" width="10.77734375" style="56" customWidth="1"/>
    <col min="3596" max="3596" width="11.77734375" style="56" customWidth="1"/>
    <col min="3597" max="3597" width="19.109375" style="56" customWidth="1"/>
    <col min="3598" max="3598" width="10" style="56" customWidth="1"/>
    <col min="3599" max="3599" width="19.44140625" style="56" customWidth="1"/>
    <col min="3600" max="3600" width="9.44140625" style="56" customWidth="1"/>
    <col min="3601" max="3601" width="18.44140625" style="56" customWidth="1"/>
    <col min="3602" max="3602" width="9.33203125" style="56"/>
    <col min="3603" max="3603" width="19.21875" style="56" customWidth="1"/>
    <col min="3604" max="3604" width="26.109375" style="56" customWidth="1"/>
    <col min="3605" max="3605" width="14.33203125" style="56" bestFit="1" customWidth="1"/>
    <col min="3606" max="3607" width="12" style="56" bestFit="1" customWidth="1"/>
    <col min="3608" max="3846" width="9.33203125" style="56"/>
    <col min="3847" max="3847" width="3.33203125" style="56" bestFit="1" customWidth="1"/>
    <col min="3848" max="3848" width="5.109375" style="56" customWidth="1"/>
    <col min="3849" max="3849" width="31.77734375" style="56" customWidth="1"/>
    <col min="3850" max="3850" width="7.33203125" style="56" customWidth="1"/>
    <col min="3851" max="3851" width="10.77734375" style="56" customWidth="1"/>
    <col min="3852" max="3852" width="11.77734375" style="56" customWidth="1"/>
    <col min="3853" max="3853" width="19.109375" style="56" customWidth="1"/>
    <col min="3854" max="3854" width="10" style="56" customWidth="1"/>
    <col min="3855" max="3855" width="19.44140625" style="56" customWidth="1"/>
    <col min="3856" max="3856" width="9.44140625" style="56" customWidth="1"/>
    <col min="3857" max="3857" width="18.44140625" style="56" customWidth="1"/>
    <col min="3858" max="3858" width="9.33203125" style="56"/>
    <col min="3859" max="3859" width="19.21875" style="56" customWidth="1"/>
    <col min="3860" max="3860" width="26.109375" style="56" customWidth="1"/>
    <col min="3861" max="3861" width="14.33203125" style="56" bestFit="1" customWidth="1"/>
    <col min="3862" max="3863" width="12" style="56" bestFit="1" customWidth="1"/>
    <col min="3864" max="4102" width="9.33203125" style="56"/>
    <col min="4103" max="4103" width="3.33203125" style="56" bestFit="1" customWidth="1"/>
    <col min="4104" max="4104" width="5.109375" style="56" customWidth="1"/>
    <col min="4105" max="4105" width="31.77734375" style="56" customWidth="1"/>
    <col min="4106" max="4106" width="7.33203125" style="56" customWidth="1"/>
    <col min="4107" max="4107" width="10.77734375" style="56" customWidth="1"/>
    <col min="4108" max="4108" width="11.77734375" style="56" customWidth="1"/>
    <col min="4109" max="4109" width="19.109375" style="56" customWidth="1"/>
    <col min="4110" max="4110" width="10" style="56" customWidth="1"/>
    <col min="4111" max="4111" width="19.44140625" style="56" customWidth="1"/>
    <col min="4112" max="4112" width="9.44140625" style="56" customWidth="1"/>
    <col min="4113" max="4113" width="18.44140625" style="56" customWidth="1"/>
    <col min="4114" max="4114" width="9.33203125" style="56"/>
    <col min="4115" max="4115" width="19.21875" style="56" customWidth="1"/>
    <col min="4116" max="4116" width="26.109375" style="56" customWidth="1"/>
    <col min="4117" max="4117" width="14.33203125" style="56" bestFit="1" customWidth="1"/>
    <col min="4118" max="4119" width="12" style="56" bestFit="1" customWidth="1"/>
    <col min="4120" max="4358" width="9.33203125" style="56"/>
    <col min="4359" max="4359" width="3.33203125" style="56" bestFit="1" customWidth="1"/>
    <col min="4360" max="4360" width="5.109375" style="56" customWidth="1"/>
    <col min="4361" max="4361" width="31.77734375" style="56" customWidth="1"/>
    <col min="4362" max="4362" width="7.33203125" style="56" customWidth="1"/>
    <col min="4363" max="4363" width="10.77734375" style="56" customWidth="1"/>
    <col min="4364" max="4364" width="11.77734375" style="56" customWidth="1"/>
    <col min="4365" max="4365" width="19.109375" style="56" customWidth="1"/>
    <col min="4366" max="4366" width="10" style="56" customWidth="1"/>
    <col min="4367" max="4367" width="19.44140625" style="56" customWidth="1"/>
    <col min="4368" max="4368" width="9.44140625" style="56" customWidth="1"/>
    <col min="4369" max="4369" width="18.44140625" style="56" customWidth="1"/>
    <col min="4370" max="4370" width="9.33203125" style="56"/>
    <col min="4371" max="4371" width="19.21875" style="56" customWidth="1"/>
    <col min="4372" max="4372" width="26.109375" style="56" customWidth="1"/>
    <col min="4373" max="4373" width="14.33203125" style="56" bestFit="1" customWidth="1"/>
    <col min="4374" max="4375" width="12" style="56" bestFit="1" customWidth="1"/>
    <col min="4376" max="4614" width="9.33203125" style="56"/>
    <col min="4615" max="4615" width="3.33203125" style="56" bestFit="1" customWidth="1"/>
    <col min="4616" max="4616" width="5.109375" style="56" customWidth="1"/>
    <col min="4617" max="4617" width="31.77734375" style="56" customWidth="1"/>
    <col min="4618" max="4618" width="7.33203125" style="56" customWidth="1"/>
    <col min="4619" max="4619" width="10.77734375" style="56" customWidth="1"/>
    <col min="4620" max="4620" width="11.77734375" style="56" customWidth="1"/>
    <col min="4621" max="4621" width="19.109375" style="56" customWidth="1"/>
    <col min="4622" max="4622" width="10" style="56" customWidth="1"/>
    <col min="4623" max="4623" width="19.44140625" style="56" customWidth="1"/>
    <col min="4624" max="4624" width="9.44140625" style="56" customWidth="1"/>
    <col min="4625" max="4625" width="18.44140625" style="56" customWidth="1"/>
    <col min="4626" max="4626" width="9.33203125" style="56"/>
    <col min="4627" max="4627" width="19.21875" style="56" customWidth="1"/>
    <col min="4628" max="4628" width="26.109375" style="56" customWidth="1"/>
    <col min="4629" max="4629" width="14.33203125" style="56" bestFit="1" customWidth="1"/>
    <col min="4630" max="4631" width="12" style="56" bestFit="1" customWidth="1"/>
    <col min="4632" max="4870" width="9.33203125" style="56"/>
    <col min="4871" max="4871" width="3.33203125" style="56" bestFit="1" customWidth="1"/>
    <col min="4872" max="4872" width="5.109375" style="56" customWidth="1"/>
    <col min="4873" max="4873" width="31.77734375" style="56" customWidth="1"/>
    <col min="4874" max="4874" width="7.33203125" style="56" customWidth="1"/>
    <col min="4875" max="4875" width="10.77734375" style="56" customWidth="1"/>
    <col min="4876" max="4876" width="11.77734375" style="56" customWidth="1"/>
    <col min="4877" max="4877" width="19.109375" style="56" customWidth="1"/>
    <col min="4878" max="4878" width="10" style="56" customWidth="1"/>
    <col min="4879" max="4879" width="19.44140625" style="56" customWidth="1"/>
    <col min="4880" max="4880" width="9.44140625" style="56" customWidth="1"/>
    <col min="4881" max="4881" width="18.44140625" style="56" customWidth="1"/>
    <col min="4882" max="4882" width="9.33203125" style="56"/>
    <col min="4883" max="4883" width="19.21875" style="56" customWidth="1"/>
    <col min="4884" max="4884" width="26.109375" style="56" customWidth="1"/>
    <col min="4885" max="4885" width="14.33203125" style="56" bestFit="1" customWidth="1"/>
    <col min="4886" max="4887" width="12" style="56" bestFit="1" customWidth="1"/>
    <col min="4888" max="5126" width="9.33203125" style="56"/>
    <col min="5127" max="5127" width="3.33203125" style="56" bestFit="1" customWidth="1"/>
    <col min="5128" max="5128" width="5.109375" style="56" customWidth="1"/>
    <col min="5129" max="5129" width="31.77734375" style="56" customWidth="1"/>
    <col min="5130" max="5130" width="7.33203125" style="56" customWidth="1"/>
    <col min="5131" max="5131" width="10.77734375" style="56" customWidth="1"/>
    <col min="5132" max="5132" width="11.77734375" style="56" customWidth="1"/>
    <col min="5133" max="5133" width="19.109375" style="56" customWidth="1"/>
    <col min="5134" max="5134" width="10" style="56" customWidth="1"/>
    <col min="5135" max="5135" width="19.44140625" style="56" customWidth="1"/>
    <col min="5136" max="5136" width="9.44140625" style="56" customWidth="1"/>
    <col min="5137" max="5137" width="18.44140625" style="56" customWidth="1"/>
    <col min="5138" max="5138" width="9.33203125" style="56"/>
    <col min="5139" max="5139" width="19.21875" style="56" customWidth="1"/>
    <col min="5140" max="5140" width="26.109375" style="56" customWidth="1"/>
    <col min="5141" max="5141" width="14.33203125" style="56" bestFit="1" customWidth="1"/>
    <col min="5142" max="5143" width="12" style="56" bestFit="1" customWidth="1"/>
    <col min="5144" max="5382" width="9.33203125" style="56"/>
    <col min="5383" max="5383" width="3.33203125" style="56" bestFit="1" customWidth="1"/>
    <col min="5384" max="5384" width="5.109375" style="56" customWidth="1"/>
    <col min="5385" max="5385" width="31.77734375" style="56" customWidth="1"/>
    <col min="5386" max="5386" width="7.33203125" style="56" customWidth="1"/>
    <col min="5387" max="5387" width="10.77734375" style="56" customWidth="1"/>
    <col min="5388" max="5388" width="11.77734375" style="56" customWidth="1"/>
    <col min="5389" max="5389" width="19.109375" style="56" customWidth="1"/>
    <col min="5390" max="5390" width="10" style="56" customWidth="1"/>
    <col min="5391" max="5391" width="19.44140625" style="56" customWidth="1"/>
    <col min="5392" max="5392" width="9.44140625" style="56" customWidth="1"/>
    <col min="5393" max="5393" width="18.44140625" style="56" customWidth="1"/>
    <col min="5394" max="5394" width="9.33203125" style="56"/>
    <col min="5395" max="5395" width="19.21875" style="56" customWidth="1"/>
    <col min="5396" max="5396" width="26.109375" style="56" customWidth="1"/>
    <col min="5397" max="5397" width="14.33203125" style="56" bestFit="1" customWidth="1"/>
    <col min="5398" max="5399" width="12" style="56" bestFit="1" customWidth="1"/>
    <col min="5400" max="5638" width="9.33203125" style="56"/>
    <col min="5639" max="5639" width="3.33203125" style="56" bestFit="1" customWidth="1"/>
    <col min="5640" max="5640" width="5.109375" style="56" customWidth="1"/>
    <col min="5641" max="5641" width="31.77734375" style="56" customWidth="1"/>
    <col min="5642" max="5642" width="7.33203125" style="56" customWidth="1"/>
    <col min="5643" max="5643" width="10.77734375" style="56" customWidth="1"/>
    <col min="5644" max="5644" width="11.77734375" style="56" customWidth="1"/>
    <col min="5645" max="5645" width="19.109375" style="56" customWidth="1"/>
    <col min="5646" max="5646" width="10" style="56" customWidth="1"/>
    <col min="5647" max="5647" width="19.44140625" style="56" customWidth="1"/>
    <col min="5648" max="5648" width="9.44140625" style="56" customWidth="1"/>
    <col min="5649" max="5649" width="18.44140625" style="56" customWidth="1"/>
    <col min="5650" max="5650" width="9.33203125" style="56"/>
    <col min="5651" max="5651" width="19.21875" style="56" customWidth="1"/>
    <col min="5652" max="5652" width="26.109375" style="56" customWidth="1"/>
    <col min="5653" max="5653" width="14.33203125" style="56" bestFit="1" customWidth="1"/>
    <col min="5654" max="5655" width="12" style="56" bestFit="1" customWidth="1"/>
    <col min="5656" max="5894" width="9.33203125" style="56"/>
    <col min="5895" max="5895" width="3.33203125" style="56" bestFit="1" customWidth="1"/>
    <col min="5896" max="5896" width="5.109375" style="56" customWidth="1"/>
    <col min="5897" max="5897" width="31.77734375" style="56" customWidth="1"/>
    <col min="5898" max="5898" width="7.33203125" style="56" customWidth="1"/>
    <col min="5899" max="5899" width="10.77734375" style="56" customWidth="1"/>
    <col min="5900" max="5900" width="11.77734375" style="56" customWidth="1"/>
    <col min="5901" max="5901" width="19.109375" style="56" customWidth="1"/>
    <col min="5902" max="5902" width="10" style="56" customWidth="1"/>
    <col min="5903" max="5903" width="19.44140625" style="56" customWidth="1"/>
    <col min="5904" max="5904" width="9.44140625" style="56" customWidth="1"/>
    <col min="5905" max="5905" width="18.44140625" style="56" customWidth="1"/>
    <col min="5906" max="5906" width="9.33203125" style="56"/>
    <col min="5907" max="5907" width="19.21875" style="56" customWidth="1"/>
    <col min="5908" max="5908" width="26.109375" style="56" customWidth="1"/>
    <col min="5909" max="5909" width="14.33203125" style="56" bestFit="1" customWidth="1"/>
    <col min="5910" max="5911" width="12" style="56" bestFit="1" customWidth="1"/>
    <col min="5912" max="6150" width="9.33203125" style="56"/>
    <col min="6151" max="6151" width="3.33203125" style="56" bestFit="1" customWidth="1"/>
    <col min="6152" max="6152" width="5.109375" style="56" customWidth="1"/>
    <col min="6153" max="6153" width="31.77734375" style="56" customWidth="1"/>
    <col min="6154" max="6154" width="7.33203125" style="56" customWidth="1"/>
    <col min="6155" max="6155" width="10.77734375" style="56" customWidth="1"/>
    <col min="6156" max="6156" width="11.77734375" style="56" customWidth="1"/>
    <col min="6157" max="6157" width="19.109375" style="56" customWidth="1"/>
    <col min="6158" max="6158" width="10" style="56" customWidth="1"/>
    <col min="6159" max="6159" width="19.44140625" style="56" customWidth="1"/>
    <col min="6160" max="6160" width="9.44140625" style="56" customWidth="1"/>
    <col min="6161" max="6161" width="18.44140625" style="56" customWidth="1"/>
    <col min="6162" max="6162" width="9.33203125" style="56"/>
    <col min="6163" max="6163" width="19.21875" style="56" customWidth="1"/>
    <col min="6164" max="6164" width="26.109375" style="56" customWidth="1"/>
    <col min="6165" max="6165" width="14.33203125" style="56" bestFit="1" customWidth="1"/>
    <col min="6166" max="6167" width="12" style="56" bestFit="1" customWidth="1"/>
    <col min="6168" max="6406" width="9.33203125" style="56"/>
    <col min="6407" max="6407" width="3.33203125" style="56" bestFit="1" customWidth="1"/>
    <col min="6408" max="6408" width="5.109375" style="56" customWidth="1"/>
    <col min="6409" max="6409" width="31.77734375" style="56" customWidth="1"/>
    <col min="6410" max="6410" width="7.33203125" style="56" customWidth="1"/>
    <col min="6411" max="6411" width="10.77734375" style="56" customWidth="1"/>
    <col min="6412" max="6412" width="11.77734375" style="56" customWidth="1"/>
    <col min="6413" max="6413" width="19.109375" style="56" customWidth="1"/>
    <col min="6414" max="6414" width="10" style="56" customWidth="1"/>
    <col min="6415" max="6415" width="19.44140625" style="56" customWidth="1"/>
    <col min="6416" max="6416" width="9.44140625" style="56" customWidth="1"/>
    <col min="6417" max="6417" width="18.44140625" style="56" customWidth="1"/>
    <col min="6418" max="6418" width="9.33203125" style="56"/>
    <col min="6419" max="6419" width="19.21875" style="56" customWidth="1"/>
    <col min="6420" max="6420" width="26.109375" style="56" customWidth="1"/>
    <col min="6421" max="6421" width="14.33203125" style="56" bestFit="1" customWidth="1"/>
    <col min="6422" max="6423" width="12" style="56" bestFit="1" customWidth="1"/>
    <col min="6424" max="6662" width="9.33203125" style="56"/>
    <col min="6663" max="6663" width="3.33203125" style="56" bestFit="1" customWidth="1"/>
    <col min="6664" max="6664" width="5.109375" style="56" customWidth="1"/>
    <col min="6665" max="6665" width="31.77734375" style="56" customWidth="1"/>
    <col min="6666" max="6666" width="7.33203125" style="56" customWidth="1"/>
    <col min="6667" max="6667" width="10.77734375" style="56" customWidth="1"/>
    <col min="6668" max="6668" width="11.77734375" style="56" customWidth="1"/>
    <col min="6669" max="6669" width="19.109375" style="56" customWidth="1"/>
    <col min="6670" max="6670" width="10" style="56" customWidth="1"/>
    <col min="6671" max="6671" width="19.44140625" style="56" customWidth="1"/>
    <col min="6672" max="6672" width="9.44140625" style="56" customWidth="1"/>
    <col min="6673" max="6673" width="18.44140625" style="56" customWidth="1"/>
    <col min="6674" max="6674" width="9.33203125" style="56"/>
    <col min="6675" max="6675" width="19.21875" style="56" customWidth="1"/>
    <col min="6676" max="6676" width="26.109375" style="56" customWidth="1"/>
    <col min="6677" max="6677" width="14.33203125" style="56" bestFit="1" customWidth="1"/>
    <col min="6678" max="6679" width="12" style="56" bestFit="1" customWidth="1"/>
    <col min="6680" max="6918" width="9.33203125" style="56"/>
    <col min="6919" max="6919" width="3.33203125" style="56" bestFit="1" customWidth="1"/>
    <col min="6920" max="6920" width="5.109375" style="56" customWidth="1"/>
    <col min="6921" max="6921" width="31.77734375" style="56" customWidth="1"/>
    <col min="6922" max="6922" width="7.33203125" style="56" customWidth="1"/>
    <col min="6923" max="6923" width="10.77734375" style="56" customWidth="1"/>
    <col min="6924" max="6924" width="11.77734375" style="56" customWidth="1"/>
    <col min="6925" max="6925" width="19.109375" style="56" customWidth="1"/>
    <col min="6926" max="6926" width="10" style="56" customWidth="1"/>
    <col min="6927" max="6927" width="19.44140625" style="56" customWidth="1"/>
    <col min="6928" max="6928" width="9.44140625" style="56" customWidth="1"/>
    <col min="6929" max="6929" width="18.44140625" style="56" customWidth="1"/>
    <col min="6930" max="6930" width="9.33203125" style="56"/>
    <col min="6931" max="6931" width="19.21875" style="56" customWidth="1"/>
    <col min="6932" max="6932" width="26.109375" style="56" customWidth="1"/>
    <col min="6933" max="6933" width="14.33203125" style="56" bestFit="1" customWidth="1"/>
    <col min="6934" max="6935" width="12" style="56" bestFit="1" customWidth="1"/>
    <col min="6936" max="7174" width="9.33203125" style="56"/>
    <col min="7175" max="7175" width="3.33203125" style="56" bestFit="1" customWidth="1"/>
    <col min="7176" max="7176" width="5.109375" style="56" customWidth="1"/>
    <col min="7177" max="7177" width="31.77734375" style="56" customWidth="1"/>
    <col min="7178" max="7178" width="7.33203125" style="56" customWidth="1"/>
    <col min="7179" max="7179" width="10.77734375" style="56" customWidth="1"/>
    <col min="7180" max="7180" width="11.77734375" style="56" customWidth="1"/>
    <col min="7181" max="7181" width="19.109375" style="56" customWidth="1"/>
    <col min="7182" max="7182" width="10" style="56" customWidth="1"/>
    <col min="7183" max="7183" width="19.44140625" style="56" customWidth="1"/>
    <col min="7184" max="7184" width="9.44140625" style="56" customWidth="1"/>
    <col min="7185" max="7185" width="18.44140625" style="56" customWidth="1"/>
    <col min="7186" max="7186" width="9.33203125" style="56"/>
    <col min="7187" max="7187" width="19.21875" style="56" customWidth="1"/>
    <col min="7188" max="7188" width="26.109375" style="56" customWidth="1"/>
    <col min="7189" max="7189" width="14.33203125" style="56" bestFit="1" customWidth="1"/>
    <col min="7190" max="7191" width="12" style="56" bestFit="1" customWidth="1"/>
    <col min="7192" max="7430" width="9.33203125" style="56"/>
    <col min="7431" max="7431" width="3.33203125" style="56" bestFit="1" customWidth="1"/>
    <col min="7432" max="7432" width="5.109375" style="56" customWidth="1"/>
    <col min="7433" max="7433" width="31.77734375" style="56" customWidth="1"/>
    <col min="7434" max="7434" width="7.33203125" style="56" customWidth="1"/>
    <col min="7435" max="7435" width="10.77734375" style="56" customWidth="1"/>
    <col min="7436" max="7436" width="11.77734375" style="56" customWidth="1"/>
    <col min="7437" max="7437" width="19.109375" style="56" customWidth="1"/>
    <col min="7438" max="7438" width="10" style="56" customWidth="1"/>
    <col min="7439" max="7439" width="19.44140625" style="56" customWidth="1"/>
    <col min="7440" max="7440" width="9.44140625" style="56" customWidth="1"/>
    <col min="7441" max="7441" width="18.44140625" style="56" customWidth="1"/>
    <col min="7442" max="7442" width="9.33203125" style="56"/>
    <col min="7443" max="7443" width="19.21875" style="56" customWidth="1"/>
    <col min="7444" max="7444" width="26.109375" style="56" customWidth="1"/>
    <col min="7445" max="7445" width="14.33203125" style="56" bestFit="1" customWidth="1"/>
    <col min="7446" max="7447" width="12" style="56" bestFit="1" customWidth="1"/>
    <col min="7448" max="7686" width="9.33203125" style="56"/>
    <col min="7687" max="7687" width="3.33203125" style="56" bestFit="1" customWidth="1"/>
    <col min="7688" max="7688" width="5.109375" style="56" customWidth="1"/>
    <col min="7689" max="7689" width="31.77734375" style="56" customWidth="1"/>
    <col min="7690" max="7690" width="7.33203125" style="56" customWidth="1"/>
    <col min="7691" max="7691" width="10.77734375" style="56" customWidth="1"/>
    <col min="7692" max="7692" width="11.77734375" style="56" customWidth="1"/>
    <col min="7693" max="7693" width="19.109375" style="56" customWidth="1"/>
    <col min="7694" max="7694" width="10" style="56" customWidth="1"/>
    <col min="7695" max="7695" width="19.44140625" style="56" customWidth="1"/>
    <col min="7696" max="7696" width="9.44140625" style="56" customWidth="1"/>
    <col min="7697" max="7697" width="18.44140625" style="56" customWidth="1"/>
    <col min="7698" max="7698" width="9.33203125" style="56"/>
    <col min="7699" max="7699" width="19.21875" style="56" customWidth="1"/>
    <col min="7700" max="7700" width="26.109375" style="56" customWidth="1"/>
    <col min="7701" max="7701" width="14.33203125" style="56" bestFit="1" customWidth="1"/>
    <col min="7702" max="7703" width="12" style="56" bestFit="1" customWidth="1"/>
    <col min="7704" max="7942" width="9.33203125" style="56"/>
    <col min="7943" max="7943" width="3.33203125" style="56" bestFit="1" customWidth="1"/>
    <col min="7944" max="7944" width="5.109375" style="56" customWidth="1"/>
    <col min="7945" max="7945" width="31.77734375" style="56" customWidth="1"/>
    <col min="7946" max="7946" width="7.33203125" style="56" customWidth="1"/>
    <col min="7947" max="7947" width="10.77734375" style="56" customWidth="1"/>
    <col min="7948" max="7948" width="11.77734375" style="56" customWidth="1"/>
    <col min="7949" max="7949" width="19.109375" style="56" customWidth="1"/>
    <col min="7950" max="7950" width="10" style="56" customWidth="1"/>
    <col min="7951" max="7951" width="19.44140625" style="56" customWidth="1"/>
    <col min="7952" max="7952" width="9.44140625" style="56" customWidth="1"/>
    <col min="7953" max="7953" width="18.44140625" style="56" customWidth="1"/>
    <col min="7954" max="7954" width="9.33203125" style="56"/>
    <col min="7955" max="7955" width="19.21875" style="56" customWidth="1"/>
    <col min="7956" max="7956" width="26.109375" style="56" customWidth="1"/>
    <col min="7957" max="7957" width="14.33203125" style="56" bestFit="1" customWidth="1"/>
    <col min="7958" max="7959" width="12" style="56" bestFit="1" customWidth="1"/>
    <col min="7960" max="8198" width="9.33203125" style="56"/>
    <col min="8199" max="8199" width="3.33203125" style="56" bestFit="1" customWidth="1"/>
    <col min="8200" max="8200" width="5.109375" style="56" customWidth="1"/>
    <col min="8201" max="8201" width="31.77734375" style="56" customWidth="1"/>
    <col min="8202" max="8202" width="7.33203125" style="56" customWidth="1"/>
    <col min="8203" max="8203" width="10.77734375" style="56" customWidth="1"/>
    <col min="8204" max="8204" width="11.77734375" style="56" customWidth="1"/>
    <col min="8205" max="8205" width="19.109375" style="56" customWidth="1"/>
    <col min="8206" max="8206" width="10" style="56" customWidth="1"/>
    <col min="8207" max="8207" width="19.44140625" style="56" customWidth="1"/>
    <col min="8208" max="8208" width="9.44140625" style="56" customWidth="1"/>
    <col min="8209" max="8209" width="18.44140625" style="56" customWidth="1"/>
    <col min="8210" max="8210" width="9.33203125" style="56"/>
    <col min="8211" max="8211" width="19.21875" style="56" customWidth="1"/>
    <col min="8212" max="8212" width="26.109375" style="56" customWidth="1"/>
    <col min="8213" max="8213" width="14.33203125" style="56" bestFit="1" customWidth="1"/>
    <col min="8214" max="8215" width="12" style="56" bestFit="1" customWidth="1"/>
    <col min="8216" max="8454" width="9.33203125" style="56"/>
    <col min="8455" max="8455" width="3.33203125" style="56" bestFit="1" customWidth="1"/>
    <col min="8456" max="8456" width="5.109375" style="56" customWidth="1"/>
    <col min="8457" max="8457" width="31.77734375" style="56" customWidth="1"/>
    <col min="8458" max="8458" width="7.33203125" style="56" customWidth="1"/>
    <col min="8459" max="8459" width="10.77734375" style="56" customWidth="1"/>
    <col min="8460" max="8460" width="11.77734375" style="56" customWidth="1"/>
    <col min="8461" max="8461" width="19.109375" style="56" customWidth="1"/>
    <col min="8462" max="8462" width="10" style="56" customWidth="1"/>
    <col min="8463" max="8463" width="19.44140625" style="56" customWidth="1"/>
    <col min="8464" max="8464" width="9.44140625" style="56" customWidth="1"/>
    <col min="8465" max="8465" width="18.44140625" style="56" customWidth="1"/>
    <col min="8466" max="8466" width="9.33203125" style="56"/>
    <col min="8467" max="8467" width="19.21875" style="56" customWidth="1"/>
    <col min="8468" max="8468" width="26.109375" style="56" customWidth="1"/>
    <col min="8469" max="8469" width="14.33203125" style="56" bestFit="1" customWidth="1"/>
    <col min="8470" max="8471" width="12" style="56" bestFit="1" customWidth="1"/>
    <col min="8472" max="8710" width="9.33203125" style="56"/>
    <col min="8711" max="8711" width="3.33203125" style="56" bestFit="1" customWidth="1"/>
    <col min="8712" max="8712" width="5.109375" style="56" customWidth="1"/>
    <col min="8713" max="8713" width="31.77734375" style="56" customWidth="1"/>
    <col min="8714" max="8714" width="7.33203125" style="56" customWidth="1"/>
    <col min="8715" max="8715" width="10.77734375" style="56" customWidth="1"/>
    <col min="8716" max="8716" width="11.77734375" style="56" customWidth="1"/>
    <col min="8717" max="8717" width="19.109375" style="56" customWidth="1"/>
    <col min="8718" max="8718" width="10" style="56" customWidth="1"/>
    <col min="8719" max="8719" width="19.44140625" style="56" customWidth="1"/>
    <col min="8720" max="8720" width="9.44140625" style="56" customWidth="1"/>
    <col min="8721" max="8721" width="18.44140625" style="56" customWidth="1"/>
    <col min="8722" max="8722" width="9.33203125" style="56"/>
    <col min="8723" max="8723" width="19.21875" style="56" customWidth="1"/>
    <col min="8724" max="8724" width="26.109375" style="56" customWidth="1"/>
    <col min="8725" max="8725" width="14.33203125" style="56" bestFit="1" customWidth="1"/>
    <col min="8726" max="8727" width="12" style="56" bestFit="1" customWidth="1"/>
    <col min="8728" max="8966" width="9.33203125" style="56"/>
    <col min="8967" max="8967" width="3.33203125" style="56" bestFit="1" customWidth="1"/>
    <col min="8968" max="8968" width="5.109375" style="56" customWidth="1"/>
    <col min="8969" max="8969" width="31.77734375" style="56" customWidth="1"/>
    <col min="8970" max="8970" width="7.33203125" style="56" customWidth="1"/>
    <col min="8971" max="8971" width="10.77734375" style="56" customWidth="1"/>
    <col min="8972" max="8972" width="11.77734375" style="56" customWidth="1"/>
    <col min="8973" max="8973" width="19.109375" style="56" customWidth="1"/>
    <col min="8974" max="8974" width="10" style="56" customWidth="1"/>
    <col min="8975" max="8975" width="19.44140625" style="56" customWidth="1"/>
    <col min="8976" max="8976" width="9.44140625" style="56" customWidth="1"/>
    <col min="8977" max="8977" width="18.44140625" style="56" customWidth="1"/>
    <col min="8978" max="8978" width="9.33203125" style="56"/>
    <col min="8979" max="8979" width="19.21875" style="56" customWidth="1"/>
    <col min="8980" max="8980" width="26.109375" style="56" customWidth="1"/>
    <col min="8981" max="8981" width="14.33203125" style="56" bestFit="1" customWidth="1"/>
    <col min="8982" max="8983" width="12" style="56" bestFit="1" customWidth="1"/>
    <col min="8984" max="9222" width="9.33203125" style="56"/>
    <col min="9223" max="9223" width="3.33203125" style="56" bestFit="1" customWidth="1"/>
    <col min="9224" max="9224" width="5.109375" style="56" customWidth="1"/>
    <col min="9225" max="9225" width="31.77734375" style="56" customWidth="1"/>
    <col min="9226" max="9226" width="7.33203125" style="56" customWidth="1"/>
    <col min="9227" max="9227" width="10.77734375" style="56" customWidth="1"/>
    <col min="9228" max="9228" width="11.77734375" style="56" customWidth="1"/>
    <col min="9229" max="9229" width="19.109375" style="56" customWidth="1"/>
    <col min="9230" max="9230" width="10" style="56" customWidth="1"/>
    <col min="9231" max="9231" width="19.44140625" style="56" customWidth="1"/>
    <col min="9232" max="9232" width="9.44140625" style="56" customWidth="1"/>
    <col min="9233" max="9233" width="18.44140625" style="56" customWidth="1"/>
    <col min="9234" max="9234" width="9.33203125" style="56"/>
    <col min="9235" max="9235" width="19.21875" style="56" customWidth="1"/>
    <col min="9236" max="9236" width="26.109375" style="56" customWidth="1"/>
    <col min="9237" max="9237" width="14.33203125" style="56" bestFit="1" customWidth="1"/>
    <col min="9238" max="9239" width="12" style="56" bestFit="1" customWidth="1"/>
    <col min="9240" max="9478" width="9.33203125" style="56"/>
    <col min="9479" max="9479" width="3.33203125" style="56" bestFit="1" customWidth="1"/>
    <col min="9480" max="9480" width="5.109375" style="56" customWidth="1"/>
    <col min="9481" max="9481" width="31.77734375" style="56" customWidth="1"/>
    <col min="9482" max="9482" width="7.33203125" style="56" customWidth="1"/>
    <col min="9483" max="9483" width="10.77734375" style="56" customWidth="1"/>
    <col min="9484" max="9484" width="11.77734375" style="56" customWidth="1"/>
    <col min="9485" max="9485" width="19.109375" style="56" customWidth="1"/>
    <col min="9486" max="9486" width="10" style="56" customWidth="1"/>
    <col min="9487" max="9487" width="19.44140625" style="56" customWidth="1"/>
    <col min="9488" max="9488" width="9.44140625" style="56" customWidth="1"/>
    <col min="9489" max="9489" width="18.44140625" style="56" customWidth="1"/>
    <col min="9490" max="9490" width="9.33203125" style="56"/>
    <col min="9491" max="9491" width="19.21875" style="56" customWidth="1"/>
    <col min="9492" max="9492" width="26.109375" style="56" customWidth="1"/>
    <col min="9493" max="9493" width="14.33203125" style="56" bestFit="1" customWidth="1"/>
    <col min="9494" max="9495" width="12" style="56" bestFit="1" customWidth="1"/>
    <col min="9496" max="9734" width="9.33203125" style="56"/>
    <col min="9735" max="9735" width="3.33203125" style="56" bestFit="1" customWidth="1"/>
    <col min="9736" max="9736" width="5.109375" style="56" customWidth="1"/>
    <col min="9737" max="9737" width="31.77734375" style="56" customWidth="1"/>
    <col min="9738" max="9738" width="7.33203125" style="56" customWidth="1"/>
    <col min="9739" max="9739" width="10.77734375" style="56" customWidth="1"/>
    <col min="9740" max="9740" width="11.77734375" style="56" customWidth="1"/>
    <col min="9741" max="9741" width="19.109375" style="56" customWidth="1"/>
    <col min="9742" max="9742" width="10" style="56" customWidth="1"/>
    <col min="9743" max="9743" width="19.44140625" style="56" customWidth="1"/>
    <col min="9744" max="9744" width="9.44140625" style="56" customWidth="1"/>
    <col min="9745" max="9745" width="18.44140625" style="56" customWidth="1"/>
    <col min="9746" max="9746" width="9.33203125" style="56"/>
    <col min="9747" max="9747" width="19.21875" style="56" customWidth="1"/>
    <col min="9748" max="9748" width="26.109375" style="56" customWidth="1"/>
    <col min="9749" max="9749" width="14.33203125" style="56" bestFit="1" customWidth="1"/>
    <col min="9750" max="9751" width="12" style="56" bestFit="1" customWidth="1"/>
    <col min="9752" max="9990" width="9.33203125" style="56"/>
    <col min="9991" max="9991" width="3.33203125" style="56" bestFit="1" customWidth="1"/>
    <col min="9992" max="9992" width="5.109375" style="56" customWidth="1"/>
    <col min="9993" max="9993" width="31.77734375" style="56" customWidth="1"/>
    <col min="9994" max="9994" width="7.33203125" style="56" customWidth="1"/>
    <col min="9995" max="9995" width="10.77734375" style="56" customWidth="1"/>
    <col min="9996" max="9996" width="11.77734375" style="56" customWidth="1"/>
    <col min="9997" max="9997" width="19.109375" style="56" customWidth="1"/>
    <col min="9998" max="9998" width="10" style="56" customWidth="1"/>
    <col min="9999" max="9999" width="19.44140625" style="56" customWidth="1"/>
    <col min="10000" max="10000" width="9.44140625" style="56" customWidth="1"/>
    <col min="10001" max="10001" width="18.44140625" style="56" customWidth="1"/>
    <col min="10002" max="10002" width="9.33203125" style="56"/>
    <col min="10003" max="10003" width="19.21875" style="56" customWidth="1"/>
    <col min="10004" max="10004" width="26.109375" style="56" customWidth="1"/>
    <col min="10005" max="10005" width="14.33203125" style="56" bestFit="1" customWidth="1"/>
    <col min="10006" max="10007" width="12" style="56" bestFit="1" customWidth="1"/>
    <col min="10008" max="10246" width="9.33203125" style="56"/>
    <col min="10247" max="10247" width="3.33203125" style="56" bestFit="1" customWidth="1"/>
    <col min="10248" max="10248" width="5.109375" style="56" customWidth="1"/>
    <col min="10249" max="10249" width="31.77734375" style="56" customWidth="1"/>
    <col min="10250" max="10250" width="7.33203125" style="56" customWidth="1"/>
    <col min="10251" max="10251" width="10.77734375" style="56" customWidth="1"/>
    <col min="10252" max="10252" width="11.77734375" style="56" customWidth="1"/>
    <col min="10253" max="10253" width="19.109375" style="56" customWidth="1"/>
    <col min="10254" max="10254" width="10" style="56" customWidth="1"/>
    <col min="10255" max="10255" width="19.44140625" style="56" customWidth="1"/>
    <col min="10256" max="10256" width="9.44140625" style="56" customWidth="1"/>
    <col min="10257" max="10257" width="18.44140625" style="56" customWidth="1"/>
    <col min="10258" max="10258" width="9.33203125" style="56"/>
    <col min="10259" max="10259" width="19.21875" style="56" customWidth="1"/>
    <col min="10260" max="10260" width="26.109375" style="56" customWidth="1"/>
    <col min="10261" max="10261" width="14.33203125" style="56" bestFit="1" customWidth="1"/>
    <col min="10262" max="10263" width="12" style="56" bestFit="1" customWidth="1"/>
    <col min="10264" max="10502" width="9.33203125" style="56"/>
    <col min="10503" max="10503" width="3.33203125" style="56" bestFit="1" customWidth="1"/>
    <col min="10504" max="10504" width="5.109375" style="56" customWidth="1"/>
    <col min="10505" max="10505" width="31.77734375" style="56" customWidth="1"/>
    <col min="10506" max="10506" width="7.33203125" style="56" customWidth="1"/>
    <col min="10507" max="10507" width="10.77734375" style="56" customWidth="1"/>
    <col min="10508" max="10508" width="11.77734375" style="56" customWidth="1"/>
    <col min="10509" max="10509" width="19.109375" style="56" customWidth="1"/>
    <col min="10510" max="10510" width="10" style="56" customWidth="1"/>
    <col min="10511" max="10511" width="19.44140625" style="56" customWidth="1"/>
    <col min="10512" max="10512" width="9.44140625" style="56" customWidth="1"/>
    <col min="10513" max="10513" width="18.44140625" style="56" customWidth="1"/>
    <col min="10514" max="10514" width="9.33203125" style="56"/>
    <col min="10515" max="10515" width="19.21875" style="56" customWidth="1"/>
    <col min="10516" max="10516" width="26.109375" style="56" customWidth="1"/>
    <col min="10517" max="10517" width="14.33203125" style="56" bestFit="1" customWidth="1"/>
    <col min="10518" max="10519" width="12" style="56" bestFit="1" customWidth="1"/>
    <col min="10520" max="10758" width="9.33203125" style="56"/>
    <col min="10759" max="10759" width="3.33203125" style="56" bestFit="1" customWidth="1"/>
    <col min="10760" max="10760" width="5.109375" style="56" customWidth="1"/>
    <col min="10761" max="10761" width="31.77734375" style="56" customWidth="1"/>
    <col min="10762" max="10762" width="7.33203125" style="56" customWidth="1"/>
    <col min="10763" max="10763" width="10.77734375" style="56" customWidth="1"/>
    <col min="10764" max="10764" width="11.77734375" style="56" customWidth="1"/>
    <col min="10765" max="10765" width="19.109375" style="56" customWidth="1"/>
    <col min="10766" max="10766" width="10" style="56" customWidth="1"/>
    <col min="10767" max="10767" width="19.44140625" style="56" customWidth="1"/>
    <col min="10768" max="10768" width="9.44140625" style="56" customWidth="1"/>
    <col min="10769" max="10769" width="18.44140625" style="56" customWidth="1"/>
    <col min="10770" max="10770" width="9.33203125" style="56"/>
    <col min="10771" max="10771" width="19.21875" style="56" customWidth="1"/>
    <col min="10772" max="10772" width="26.109375" style="56" customWidth="1"/>
    <col min="10773" max="10773" width="14.33203125" style="56" bestFit="1" customWidth="1"/>
    <col min="10774" max="10775" width="12" style="56" bestFit="1" customWidth="1"/>
    <col min="10776" max="11014" width="9.33203125" style="56"/>
    <col min="11015" max="11015" width="3.33203125" style="56" bestFit="1" customWidth="1"/>
    <col min="11016" max="11016" width="5.109375" style="56" customWidth="1"/>
    <col min="11017" max="11017" width="31.77734375" style="56" customWidth="1"/>
    <col min="11018" max="11018" width="7.33203125" style="56" customWidth="1"/>
    <col min="11019" max="11019" width="10.77734375" style="56" customWidth="1"/>
    <col min="11020" max="11020" width="11.77734375" style="56" customWidth="1"/>
    <col min="11021" max="11021" width="19.109375" style="56" customWidth="1"/>
    <col min="11022" max="11022" width="10" style="56" customWidth="1"/>
    <col min="11023" max="11023" width="19.44140625" style="56" customWidth="1"/>
    <col min="11024" max="11024" width="9.44140625" style="56" customWidth="1"/>
    <col min="11025" max="11025" width="18.44140625" style="56" customWidth="1"/>
    <col min="11026" max="11026" width="9.33203125" style="56"/>
    <col min="11027" max="11027" width="19.21875" style="56" customWidth="1"/>
    <col min="11028" max="11028" width="26.109375" style="56" customWidth="1"/>
    <col min="11029" max="11029" width="14.33203125" style="56" bestFit="1" customWidth="1"/>
    <col min="11030" max="11031" width="12" style="56" bestFit="1" customWidth="1"/>
    <col min="11032" max="11270" width="9.33203125" style="56"/>
    <col min="11271" max="11271" width="3.33203125" style="56" bestFit="1" customWidth="1"/>
    <col min="11272" max="11272" width="5.109375" style="56" customWidth="1"/>
    <col min="11273" max="11273" width="31.77734375" style="56" customWidth="1"/>
    <col min="11274" max="11274" width="7.33203125" style="56" customWidth="1"/>
    <col min="11275" max="11275" width="10.77734375" style="56" customWidth="1"/>
    <col min="11276" max="11276" width="11.77734375" style="56" customWidth="1"/>
    <col min="11277" max="11277" width="19.109375" style="56" customWidth="1"/>
    <col min="11278" max="11278" width="10" style="56" customWidth="1"/>
    <col min="11279" max="11279" width="19.44140625" style="56" customWidth="1"/>
    <col min="11280" max="11280" width="9.44140625" style="56" customWidth="1"/>
    <col min="11281" max="11281" width="18.44140625" style="56" customWidth="1"/>
    <col min="11282" max="11282" width="9.33203125" style="56"/>
    <col min="11283" max="11283" width="19.21875" style="56" customWidth="1"/>
    <col min="11284" max="11284" width="26.109375" style="56" customWidth="1"/>
    <col min="11285" max="11285" width="14.33203125" style="56" bestFit="1" customWidth="1"/>
    <col min="11286" max="11287" width="12" style="56" bestFit="1" customWidth="1"/>
    <col min="11288" max="11526" width="9.33203125" style="56"/>
    <col min="11527" max="11527" width="3.33203125" style="56" bestFit="1" customWidth="1"/>
    <col min="11528" max="11528" width="5.109375" style="56" customWidth="1"/>
    <col min="11529" max="11529" width="31.77734375" style="56" customWidth="1"/>
    <col min="11530" max="11530" width="7.33203125" style="56" customWidth="1"/>
    <col min="11531" max="11531" width="10.77734375" style="56" customWidth="1"/>
    <col min="11532" max="11532" width="11.77734375" style="56" customWidth="1"/>
    <col min="11533" max="11533" width="19.109375" style="56" customWidth="1"/>
    <col min="11534" max="11534" width="10" style="56" customWidth="1"/>
    <col min="11535" max="11535" width="19.44140625" style="56" customWidth="1"/>
    <col min="11536" max="11536" width="9.44140625" style="56" customWidth="1"/>
    <col min="11537" max="11537" width="18.44140625" style="56" customWidth="1"/>
    <col min="11538" max="11538" width="9.33203125" style="56"/>
    <col min="11539" max="11539" width="19.21875" style="56" customWidth="1"/>
    <col min="11540" max="11540" width="26.109375" style="56" customWidth="1"/>
    <col min="11541" max="11541" width="14.33203125" style="56" bestFit="1" customWidth="1"/>
    <col min="11542" max="11543" width="12" style="56" bestFit="1" customWidth="1"/>
    <col min="11544" max="11782" width="9.33203125" style="56"/>
    <col min="11783" max="11783" width="3.33203125" style="56" bestFit="1" customWidth="1"/>
    <col min="11784" max="11784" width="5.109375" style="56" customWidth="1"/>
    <col min="11785" max="11785" width="31.77734375" style="56" customWidth="1"/>
    <col min="11786" max="11786" width="7.33203125" style="56" customWidth="1"/>
    <col min="11787" max="11787" width="10.77734375" style="56" customWidth="1"/>
    <col min="11788" max="11788" width="11.77734375" style="56" customWidth="1"/>
    <col min="11789" max="11789" width="19.109375" style="56" customWidth="1"/>
    <col min="11790" max="11790" width="10" style="56" customWidth="1"/>
    <col min="11791" max="11791" width="19.44140625" style="56" customWidth="1"/>
    <col min="11792" max="11792" width="9.44140625" style="56" customWidth="1"/>
    <col min="11793" max="11793" width="18.44140625" style="56" customWidth="1"/>
    <col min="11794" max="11794" width="9.33203125" style="56"/>
    <col min="11795" max="11795" width="19.21875" style="56" customWidth="1"/>
    <col min="11796" max="11796" width="26.109375" style="56" customWidth="1"/>
    <col min="11797" max="11797" width="14.33203125" style="56" bestFit="1" customWidth="1"/>
    <col min="11798" max="11799" width="12" style="56" bestFit="1" customWidth="1"/>
    <col min="11800" max="12038" width="9.33203125" style="56"/>
    <col min="12039" max="12039" width="3.33203125" style="56" bestFit="1" customWidth="1"/>
    <col min="12040" max="12040" width="5.109375" style="56" customWidth="1"/>
    <col min="12041" max="12041" width="31.77734375" style="56" customWidth="1"/>
    <col min="12042" max="12042" width="7.33203125" style="56" customWidth="1"/>
    <col min="12043" max="12043" width="10.77734375" style="56" customWidth="1"/>
    <col min="12044" max="12044" width="11.77734375" style="56" customWidth="1"/>
    <col min="12045" max="12045" width="19.109375" style="56" customWidth="1"/>
    <col min="12046" max="12046" width="10" style="56" customWidth="1"/>
    <col min="12047" max="12047" width="19.44140625" style="56" customWidth="1"/>
    <col min="12048" max="12048" width="9.44140625" style="56" customWidth="1"/>
    <col min="12049" max="12049" width="18.44140625" style="56" customWidth="1"/>
    <col min="12050" max="12050" width="9.33203125" style="56"/>
    <col min="12051" max="12051" width="19.21875" style="56" customWidth="1"/>
    <col min="12052" max="12052" width="26.109375" style="56" customWidth="1"/>
    <col min="12053" max="12053" width="14.33203125" style="56" bestFit="1" customWidth="1"/>
    <col min="12054" max="12055" width="12" style="56" bestFit="1" customWidth="1"/>
    <col min="12056" max="12294" width="9.33203125" style="56"/>
    <col min="12295" max="12295" width="3.33203125" style="56" bestFit="1" customWidth="1"/>
    <col min="12296" max="12296" width="5.109375" style="56" customWidth="1"/>
    <col min="12297" max="12297" width="31.77734375" style="56" customWidth="1"/>
    <col min="12298" max="12298" width="7.33203125" style="56" customWidth="1"/>
    <col min="12299" max="12299" width="10.77734375" style="56" customWidth="1"/>
    <col min="12300" max="12300" width="11.77734375" style="56" customWidth="1"/>
    <col min="12301" max="12301" width="19.109375" style="56" customWidth="1"/>
    <col min="12302" max="12302" width="10" style="56" customWidth="1"/>
    <col min="12303" max="12303" width="19.44140625" style="56" customWidth="1"/>
    <col min="12304" max="12304" width="9.44140625" style="56" customWidth="1"/>
    <col min="12305" max="12305" width="18.44140625" style="56" customWidth="1"/>
    <col min="12306" max="12306" width="9.33203125" style="56"/>
    <col min="12307" max="12307" width="19.21875" style="56" customWidth="1"/>
    <col min="12308" max="12308" width="26.109375" style="56" customWidth="1"/>
    <col min="12309" max="12309" width="14.33203125" style="56" bestFit="1" customWidth="1"/>
    <col min="12310" max="12311" width="12" style="56" bestFit="1" customWidth="1"/>
    <col min="12312" max="12550" width="9.33203125" style="56"/>
    <col min="12551" max="12551" width="3.33203125" style="56" bestFit="1" customWidth="1"/>
    <col min="12552" max="12552" width="5.109375" style="56" customWidth="1"/>
    <col min="12553" max="12553" width="31.77734375" style="56" customWidth="1"/>
    <col min="12554" max="12554" width="7.33203125" style="56" customWidth="1"/>
    <col min="12555" max="12555" width="10.77734375" style="56" customWidth="1"/>
    <col min="12556" max="12556" width="11.77734375" style="56" customWidth="1"/>
    <col min="12557" max="12557" width="19.109375" style="56" customWidth="1"/>
    <col min="12558" max="12558" width="10" style="56" customWidth="1"/>
    <col min="12559" max="12559" width="19.44140625" style="56" customWidth="1"/>
    <col min="12560" max="12560" width="9.44140625" style="56" customWidth="1"/>
    <col min="12561" max="12561" width="18.44140625" style="56" customWidth="1"/>
    <col min="12562" max="12562" width="9.33203125" style="56"/>
    <col min="12563" max="12563" width="19.21875" style="56" customWidth="1"/>
    <col min="12564" max="12564" width="26.109375" style="56" customWidth="1"/>
    <col min="12565" max="12565" width="14.33203125" style="56" bestFit="1" customWidth="1"/>
    <col min="12566" max="12567" width="12" style="56" bestFit="1" customWidth="1"/>
    <col min="12568" max="12806" width="9.33203125" style="56"/>
    <col min="12807" max="12807" width="3.33203125" style="56" bestFit="1" customWidth="1"/>
    <col min="12808" max="12808" width="5.109375" style="56" customWidth="1"/>
    <col min="12809" max="12809" width="31.77734375" style="56" customWidth="1"/>
    <col min="12810" max="12810" width="7.33203125" style="56" customWidth="1"/>
    <col min="12811" max="12811" width="10.77734375" style="56" customWidth="1"/>
    <col min="12812" max="12812" width="11.77734375" style="56" customWidth="1"/>
    <col min="12813" max="12813" width="19.109375" style="56" customWidth="1"/>
    <col min="12814" max="12814" width="10" style="56" customWidth="1"/>
    <col min="12815" max="12815" width="19.44140625" style="56" customWidth="1"/>
    <col min="12816" max="12816" width="9.44140625" style="56" customWidth="1"/>
    <col min="12817" max="12817" width="18.44140625" style="56" customWidth="1"/>
    <col min="12818" max="12818" width="9.33203125" style="56"/>
    <col min="12819" max="12819" width="19.21875" style="56" customWidth="1"/>
    <col min="12820" max="12820" width="26.109375" style="56" customWidth="1"/>
    <col min="12821" max="12821" width="14.33203125" style="56" bestFit="1" customWidth="1"/>
    <col min="12822" max="12823" width="12" style="56" bestFit="1" customWidth="1"/>
    <col min="12824" max="13062" width="9.33203125" style="56"/>
    <col min="13063" max="13063" width="3.33203125" style="56" bestFit="1" customWidth="1"/>
    <col min="13064" max="13064" width="5.109375" style="56" customWidth="1"/>
    <col min="13065" max="13065" width="31.77734375" style="56" customWidth="1"/>
    <col min="13066" max="13066" width="7.33203125" style="56" customWidth="1"/>
    <col min="13067" max="13067" width="10.77734375" style="56" customWidth="1"/>
    <col min="13068" max="13068" width="11.77734375" style="56" customWidth="1"/>
    <col min="13069" max="13069" width="19.109375" style="56" customWidth="1"/>
    <col min="13070" max="13070" width="10" style="56" customWidth="1"/>
    <col min="13071" max="13071" width="19.44140625" style="56" customWidth="1"/>
    <col min="13072" max="13072" width="9.44140625" style="56" customWidth="1"/>
    <col min="13073" max="13073" width="18.44140625" style="56" customWidth="1"/>
    <col min="13074" max="13074" width="9.33203125" style="56"/>
    <col min="13075" max="13075" width="19.21875" style="56" customWidth="1"/>
    <col min="13076" max="13076" width="26.109375" style="56" customWidth="1"/>
    <col min="13077" max="13077" width="14.33203125" style="56" bestFit="1" customWidth="1"/>
    <col min="13078" max="13079" width="12" style="56" bestFit="1" customWidth="1"/>
    <col min="13080" max="13318" width="9.33203125" style="56"/>
    <col min="13319" max="13319" width="3.33203125" style="56" bestFit="1" customWidth="1"/>
    <col min="13320" max="13320" width="5.109375" style="56" customWidth="1"/>
    <col min="13321" max="13321" width="31.77734375" style="56" customWidth="1"/>
    <col min="13322" max="13322" width="7.33203125" style="56" customWidth="1"/>
    <col min="13323" max="13323" width="10.77734375" style="56" customWidth="1"/>
    <col min="13324" max="13324" width="11.77734375" style="56" customWidth="1"/>
    <col min="13325" max="13325" width="19.109375" style="56" customWidth="1"/>
    <col min="13326" max="13326" width="10" style="56" customWidth="1"/>
    <col min="13327" max="13327" width="19.44140625" style="56" customWidth="1"/>
    <col min="13328" max="13328" width="9.44140625" style="56" customWidth="1"/>
    <col min="13329" max="13329" width="18.44140625" style="56" customWidth="1"/>
    <col min="13330" max="13330" width="9.33203125" style="56"/>
    <col min="13331" max="13331" width="19.21875" style="56" customWidth="1"/>
    <col min="13332" max="13332" width="26.109375" style="56" customWidth="1"/>
    <col min="13333" max="13333" width="14.33203125" style="56" bestFit="1" customWidth="1"/>
    <col min="13334" max="13335" width="12" style="56" bestFit="1" customWidth="1"/>
    <col min="13336" max="13574" width="9.33203125" style="56"/>
    <col min="13575" max="13575" width="3.33203125" style="56" bestFit="1" customWidth="1"/>
    <col min="13576" max="13576" width="5.109375" style="56" customWidth="1"/>
    <col min="13577" max="13577" width="31.77734375" style="56" customWidth="1"/>
    <col min="13578" max="13578" width="7.33203125" style="56" customWidth="1"/>
    <col min="13579" max="13579" width="10.77734375" style="56" customWidth="1"/>
    <col min="13580" max="13580" width="11.77734375" style="56" customWidth="1"/>
    <col min="13581" max="13581" width="19.109375" style="56" customWidth="1"/>
    <col min="13582" max="13582" width="10" style="56" customWidth="1"/>
    <col min="13583" max="13583" width="19.44140625" style="56" customWidth="1"/>
    <col min="13584" max="13584" width="9.44140625" style="56" customWidth="1"/>
    <col min="13585" max="13585" width="18.44140625" style="56" customWidth="1"/>
    <col min="13586" max="13586" width="9.33203125" style="56"/>
    <col min="13587" max="13587" width="19.21875" style="56" customWidth="1"/>
    <col min="13588" max="13588" width="26.109375" style="56" customWidth="1"/>
    <col min="13589" max="13589" width="14.33203125" style="56" bestFit="1" customWidth="1"/>
    <col min="13590" max="13591" width="12" style="56" bestFit="1" customWidth="1"/>
    <col min="13592" max="13830" width="9.33203125" style="56"/>
    <col min="13831" max="13831" width="3.33203125" style="56" bestFit="1" customWidth="1"/>
    <col min="13832" max="13832" width="5.109375" style="56" customWidth="1"/>
    <col min="13833" max="13833" width="31.77734375" style="56" customWidth="1"/>
    <col min="13834" max="13834" width="7.33203125" style="56" customWidth="1"/>
    <col min="13835" max="13835" width="10.77734375" style="56" customWidth="1"/>
    <col min="13836" max="13836" width="11.77734375" style="56" customWidth="1"/>
    <col min="13837" max="13837" width="19.109375" style="56" customWidth="1"/>
    <col min="13838" max="13838" width="10" style="56" customWidth="1"/>
    <col min="13839" max="13839" width="19.44140625" style="56" customWidth="1"/>
    <col min="13840" max="13840" width="9.44140625" style="56" customWidth="1"/>
    <col min="13841" max="13841" width="18.44140625" style="56" customWidth="1"/>
    <col min="13842" max="13842" width="9.33203125" style="56"/>
    <col min="13843" max="13843" width="19.21875" style="56" customWidth="1"/>
    <col min="13844" max="13844" width="26.109375" style="56" customWidth="1"/>
    <col min="13845" max="13845" width="14.33203125" style="56" bestFit="1" customWidth="1"/>
    <col min="13846" max="13847" width="12" style="56" bestFit="1" customWidth="1"/>
    <col min="13848" max="14086" width="9.33203125" style="56"/>
    <col min="14087" max="14087" width="3.33203125" style="56" bestFit="1" customWidth="1"/>
    <col min="14088" max="14088" width="5.109375" style="56" customWidth="1"/>
    <col min="14089" max="14089" width="31.77734375" style="56" customWidth="1"/>
    <col min="14090" max="14090" width="7.33203125" style="56" customWidth="1"/>
    <col min="14091" max="14091" width="10.77734375" style="56" customWidth="1"/>
    <col min="14092" max="14092" width="11.77734375" style="56" customWidth="1"/>
    <col min="14093" max="14093" width="19.109375" style="56" customWidth="1"/>
    <col min="14094" max="14094" width="10" style="56" customWidth="1"/>
    <col min="14095" max="14095" width="19.44140625" style="56" customWidth="1"/>
    <col min="14096" max="14096" width="9.44140625" style="56" customWidth="1"/>
    <col min="14097" max="14097" width="18.44140625" style="56" customWidth="1"/>
    <col min="14098" max="14098" width="9.33203125" style="56"/>
    <col min="14099" max="14099" width="19.21875" style="56" customWidth="1"/>
    <col min="14100" max="14100" width="26.109375" style="56" customWidth="1"/>
    <col min="14101" max="14101" width="14.33203125" style="56" bestFit="1" customWidth="1"/>
    <col min="14102" max="14103" width="12" style="56" bestFit="1" customWidth="1"/>
    <col min="14104" max="14342" width="9.33203125" style="56"/>
    <col min="14343" max="14343" width="3.33203125" style="56" bestFit="1" customWidth="1"/>
    <col min="14344" max="14344" width="5.109375" style="56" customWidth="1"/>
    <col min="14345" max="14345" width="31.77734375" style="56" customWidth="1"/>
    <col min="14346" max="14346" width="7.33203125" style="56" customWidth="1"/>
    <col min="14347" max="14347" width="10.77734375" style="56" customWidth="1"/>
    <col min="14348" max="14348" width="11.77734375" style="56" customWidth="1"/>
    <col min="14349" max="14349" width="19.109375" style="56" customWidth="1"/>
    <col min="14350" max="14350" width="10" style="56" customWidth="1"/>
    <col min="14351" max="14351" width="19.44140625" style="56" customWidth="1"/>
    <col min="14352" max="14352" width="9.44140625" style="56" customWidth="1"/>
    <col min="14353" max="14353" width="18.44140625" style="56" customWidth="1"/>
    <col min="14354" max="14354" width="9.33203125" style="56"/>
    <col min="14355" max="14355" width="19.21875" style="56" customWidth="1"/>
    <col min="14356" max="14356" width="26.109375" style="56" customWidth="1"/>
    <col min="14357" max="14357" width="14.33203125" style="56" bestFit="1" customWidth="1"/>
    <col min="14358" max="14359" width="12" style="56" bestFit="1" customWidth="1"/>
    <col min="14360" max="14598" width="9.33203125" style="56"/>
    <col min="14599" max="14599" width="3.33203125" style="56" bestFit="1" customWidth="1"/>
    <col min="14600" max="14600" width="5.109375" style="56" customWidth="1"/>
    <col min="14601" max="14601" width="31.77734375" style="56" customWidth="1"/>
    <col min="14602" max="14602" width="7.33203125" style="56" customWidth="1"/>
    <col min="14603" max="14603" width="10.77734375" style="56" customWidth="1"/>
    <col min="14604" max="14604" width="11.77734375" style="56" customWidth="1"/>
    <col min="14605" max="14605" width="19.109375" style="56" customWidth="1"/>
    <col min="14606" max="14606" width="10" style="56" customWidth="1"/>
    <col min="14607" max="14607" width="19.44140625" style="56" customWidth="1"/>
    <col min="14608" max="14608" width="9.44140625" style="56" customWidth="1"/>
    <col min="14609" max="14609" width="18.44140625" style="56" customWidth="1"/>
    <col min="14610" max="14610" width="9.33203125" style="56"/>
    <col min="14611" max="14611" width="19.21875" style="56" customWidth="1"/>
    <col min="14612" max="14612" width="26.109375" style="56" customWidth="1"/>
    <col min="14613" max="14613" width="14.33203125" style="56" bestFit="1" customWidth="1"/>
    <col min="14614" max="14615" width="12" style="56" bestFit="1" customWidth="1"/>
    <col min="14616" max="14854" width="9.33203125" style="56"/>
    <col min="14855" max="14855" width="3.33203125" style="56" bestFit="1" customWidth="1"/>
    <col min="14856" max="14856" width="5.109375" style="56" customWidth="1"/>
    <col min="14857" max="14857" width="31.77734375" style="56" customWidth="1"/>
    <col min="14858" max="14858" width="7.33203125" style="56" customWidth="1"/>
    <col min="14859" max="14859" width="10.77734375" style="56" customWidth="1"/>
    <col min="14860" max="14860" width="11.77734375" style="56" customWidth="1"/>
    <col min="14861" max="14861" width="19.109375" style="56" customWidth="1"/>
    <col min="14862" max="14862" width="10" style="56" customWidth="1"/>
    <col min="14863" max="14863" width="19.44140625" style="56" customWidth="1"/>
    <col min="14864" max="14864" width="9.44140625" style="56" customWidth="1"/>
    <col min="14865" max="14865" width="18.44140625" style="56" customWidth="1"/>
    <col min="14866" max="14866" width="9.33203125" style="56"/>
    <col min="14867" max="14867" width="19.21875" style="56" customWidth="1"/>
    <col min="14868" max="14868" width="26.109375" style="56" customWidth="1"/>
    <col min="14869" max="14869" width="14.33203125" style="56" bestFit="1" customWidth="1"/>
    <col min="14870" max="14871" width="12" style="56" bestFit="1" customWidth="1"/>
    <col min="14872" max="15110" width="9.33203125" style="56"/>
    <col min="15111" max="15111" width="3.33203125" style="56" bestFit="1" customWidth="1"/>
    <col min="15112" max="15112" width="5.109375" style="56" customWidth="1"/>
    <col min="15113" max="15113" width="31.77734375" style="56" customWidth="1"/>
    <col min="15114" max="15114" width="7.33203125" style="56" customWidth="1"/>
    <col min="15115" max="15115" width="10.77734375" style="56" customWidth="1"/>
    <col min="15116" max="15116" width="11.77734375" style="56" customWidth="1"/>
    <col min="15117" max="15117" width="19.109375" style="56" customWidth="1"/>
    <col min="15118" max="15118" width="10" style="56" customWidth="1"/>
    <col min="15119" max="15119" width="19.44140625" style="56" customWidth="1"/>
    <col min="15120" max="15120" width="9.44140625" style="56" customWidth="1"/>
    <col min="15121" max="15121" width="18.44140625" style="56" customWidth="1"/>
    <col min="15122" max="15122" width="9.33203125" style="56"/>
    <col min="15123" max="15123" width="19.21875" style="56" customWidth="1"/>
    <col min="15124" max="15124" width="26.109375" style="56" customWidth="1"/>
    <col min="15125" max="15125" width="14.33203125" style="56" bestFit="1" customWidth="1"/>
    <col min="15126" max="15127" width="12" style="56" bestFit="1" customWidth="1"/>
    <col min="15128" max="15366" width="9.33203125" style="56"/>
    <col min="15367" max="15367" width="3.33203125" style="56" bestFit="1" customWidth="1"/>
    <col min="15368" max="15368" width="5.109375" style="56" customWidth="1"/>
    <col min="15369" max="15369" width="31.77734375" style="56" customWidth="1"/>
    <col min="15370" max="15370" width="7.33203125" style="56" customWidth="1"/>
    <col min="15371" max="15371" width="10.77734375" style="56" customWidth="1"/>
    <col min="15372" max="15372" width="11.77734375" style="56" customWidth="1"/>
    <col min="15373" max="15373" width="19.109375" style="56" customWidth="1"/>
    <col min="15374" max="15374" width="10" style="56" customWidth="1"/>
    <col min="15375" max="15375" width="19.44140625" style="56" customWidth="1"/>
    <col min="15376" max="15376" width="9.44140625" style="56" customWidth="1"/>
    <col min="15377" max="15377" width="18.44140625" style="56" customWidth="1"/>
    <col min="15378" max="15378" width="9.33203125" style="56"/>
    <col min="15379" max="15379" width="19.21875" style="56" customWidth="1"/>
    <col min="15380" max="15380" width="26.109375" style="56" customWidth="1"/>
    <col min="15381" max="15381" width="14.33203125" style="56" bestFit="1" customWidth="1"/>
    <col min="15382" max="15383" width="12" style="56" bestFit="1" customWidth="1"/>
    <col min="15384" max="15622" width="9.33203125" style="56"/>
    <col min="15623" max="15623" width="3.33203125" style="56" bestFit="1" customWidth="1"/>
    <col min="15624" max="15624" width="5.109375" style="56" customWidth="1"/>
    <col min="15625" max="15625" width="31.77734375" style="56" customWidth="1"/>
    <col min="15626" max="15626" width="7.33203125" style="56" customWidth="1"/>
    <col min="15627" max="15627" width="10.77734375" style="56" customWidth="1"/>
    <col min="15628" max="15628" width="11.77734375" style="56" customWidth="1"/>
    <col min="15629" max="15629" width="19.109375" style="56" customWidth="1"/>
    <col min="15630" max="15630" width="10" style="56" customWidth="1"/>
    <col min="15631" max="15631" width="19.44140625" style="56" customWidth="1"/>
    <col min="15632" max="15632" width="9.44140625" style="56" customWidth="1"/>
    <col min="15633" max="15633" width="18.44140625" style="56" customWidth="1"/>
    <col min="15634" max="15634" width="9.33203125" style="56"/>
    <col min="15635" max="15635" width="19.21875" style="56" customWidth="1"/>
    <col min="15636" max="15636" width="26.109375" style="56" customWidth="1"/>
    <col min="15637" max="15637" width="14.33203125" style="56" bestFit="1" customWidth="1"/>
    <col min="15638" max="15639" width="12" style="56" bestFit="1" customWidth="1"/>
    <col min="15640" max="15878" width="9.33203125" style="56"/>
    <col min="15879" max="15879" width="3.33203125" style="56" bestFit="1" customWidth="1"/>
    <col min="15880" max="15880" width="5.109375" style="56" customWidth="1"/>
    <col min="15881" max="15881" width="31.77734375" style="56" customWidth="1"/>
    <col min="15882" max="15882" width="7.33203125" style="56" customWidth="1"/>
    <col min="15883" max="15883" width="10.77734375" style="56" customWidth="1"/>
    <col min="15884" max="15884" width="11.77734375" style="56" customWidth="1"/>
    <col min="15885" max="15885" width="19.109375" style="56" customWidth="1"/>
    <col min="15886" max="15886" width="10" style="56" customWidth="1"/>
    <col min="15887" max="15887" width="19.44140625" style="56" customWidth="1"/>
    <col min="15888" max="15888" width="9.44140625" style="56" customWidth="1"/>
    <col min="15889" max="15889" width="18.44140625" style="56" customWidth="1"/>
    <col min="15890" max="15890" width="9.33203125" style="56"/>
    <col min="15891" max="15891" width="19.21875" style="56" customWidth="1"/>
    <col min="15892" max="15892" width="26.109375" style="56" customWidth="1"/>
    <col min="15893" max="15893" width="14.33203125" style="56" bestFit="1" customWidth="1"/>
    <col min="15894" max="15895" width="12" style="56" bestFit="1" customWidth="1"/>
    <col min="15896" max="16134" width="9.33203125" style="56"/>
    <col min="16135" max="16135" width="3.33203125" style="56" bestFit="1" customWidth="1"/>
    <col min="16136" max="16136" width="5.109375" style="56" customWidth="1"/>
    <col min="16137" max="16137" width="31.77734375" style="56" customWidth="1"/>
    <col min="16138" max="16138" width="7.33203125" style="56" customWidth="1"/>
    <col min="16139" max="16139" width="10.77734375" style="56" customWidth="1"/>
    <col min="16140" max="16140" width="11.77734375" style="56" customWidth="1"/>
    <col min="16141" max="16141" width="19.109375" style="56" customWidth="1"/>
    <col min="16142" max="16142" width="10" style="56" customWidth="1"/>
    <col min="16143" max="16143" width="19.44140625" style="56" customWidth="1"/>
    <col min="16144" max="16144" width="9.44140625" style="56" customWidth="1"/>
    <col min="16145" max="16145" width="18.44140625" style="56" customWidth="1"/>
    <col min="16146" max="16146" width="9.33203125" style="56"/>
    <col min="16147" max="16147" width="19.21875" style="56" customWidth="1"/>
    <col min="16148" max="16148" width="26.109375" style="56" customWidth="1"/>
    <col min="16149" max="16149" width="14.33203125" style="56" bestFit="1" customWidth="1"/>
    <col min="16150" max="16151" width="12" style="56" bestFit="1" customWidth="1"/>
    <col min="16152" max="16384" width="9.33203125" style="56"/>
  </cols>
  <sheetData>
    <row r="1" spans="1:22" ht="21.6" customHeight="1" outlineLevel="1">
      <c r="A1" s="54"/>
      <c r="B1" s="137"/>
      <c r="C1" s="137"/>
      <c r="D1" s="138" t="s">
        <v>377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</row>
    <row r="2" spans="1:22" ht="21.6" customHeight="1" outlineLevel="1">
      <c r="A2" s="57"/>
      <c r="B2" s="137"/>
      <c r="C2" s="137"/>
      <c r="D2" s="138" t="s">
        <v>378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</row>
    <row r="3" spans="1:22" ht="21.6" customHeight="1" outlineLevel="1">
      <c r="A3" s="57"/>
      <c r="B3" s="137"/>
      <c r="C3" s="137"/>
      <c r="D3" s="138" t="s">
        <v>379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</row>
    <row r="4" spans="1:22" ht="24" customHeight="1" outlineLevel="1">
      <c r="A4" s="57"/>
      <c r="B4" s="137"/>
      <c r="C4" s="137"/>
      <c r="D4" s="140" t="s">
        <v>380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</row>
    <row r="5" spans="1:22" s="60" customFormat="1">
      <c r="A5" s="58"/>
      <c r="B5" s="131" t="s">
        <v>381</v>
      </c>
      <c r="C5" s="131" t="s">
        <v>382</v>
      </c>
      <c r="D5" s="144" t="s">
        <v>383</v>
      </c>
      <c r="E5" s="145" t="s">
        <v>384</v>
      </c>
      <c r="F5" s="145" t="s">
        <v>385</v>
      </c>
      <c r="G5" s="145"/>
      <c r="H5" s="146" t="s">
        <v>425</v>
      </c>
      <c r="I5" s="147"/>
      <c r="J5" s="148"/>
      <c r="K5" s="145" t="s">
        <v>386</v>
      </c>
      <c r="L5" s="145"/>
      <c r="M5" s="145"/>
      <c r="N5" s="145" t="s">
        <v>387</v>
      </c>
      <c r="O5" s="145"/>
      <c r="P5" s="145"/>
      <c r="Q5" s="145" t="s">
        <v>388</v>
      </c>
      <c r="R5" s="145"/>
      <c r="S5" s="145"/>
      <c r="T5" s="131" t="s">
        <v>389</v>
      </c>
      <c r="U5" s="59"/>
      <c r="V5" s="59"/>
    </row>
    <row r="6" spans="1:22" s="60" customFormat="1" ht="46.8">
      <c r="A6" s="58"/>
      <c r="B6" s="143"/>
      <c r="C6" s="131"/>
      <c r="D6" s="144"/>
      <c r="E6" s="145"/>
      <c r="F6" s="61" t="s">
        <v>390</v>
      </c>
      <c r="G6" s="61" t="s">
        <v>391</v>
      </c>
      <c r="H6" s="61" t="s">
        <v>426</v>
      </c>
      <c r="I6" s="61" t="s">
        <v>427</v>
      </c>
      <c r="J6" s="61" t="s">
        <v>428</v>
      </c>
      <c r="K6" s="61" t="s">
        <v>413</v>
      </c>
      <c r="L6" s="61" t="s">
        <v>414</v>
      </c>
      <c r="M6" s="61" t="s">
        <v>392</v>
      </c>
      <c r="N6" s="61" t="s">
        <v>413</v>
      </c>
      <c r="O6" s="61" t="s">
        <v>414</v>
      </c>
      <c r="P6" s="61" t="s">
        <v>392</v>
      </c>
      <c r="Q6" s="61" t="s">
        <v>413</v>
      </c>
      <c r="R6" s="61" t="s">
        <v>414</v>
      </c>
      <c r="S6" s="61" t="s">
        <v>392</v>
      </c>
      <c r="T6" s="131"/>
      <c r="U6" s="59"/>
      <c r="V6" s="59"/>
    </row>
    <row r="7" spans="1:22" s="60" customFormat="1" ht="31.2">
      <c r="A7" s="58"/>
      <c r="B7" s="62">
        <v>1</v>
      </c>
      <c r="C7" s="63">
        <v>2</v>
      </c>
      <c r="D7" s="63">
        <v>3</v>
      </c>
      <c r="E7" s="63">
        <v>4</v>
      </c>
      <c r="F7" s="63">
        <v>5</v>
      </c>
      <c r="G7" s="63" t="s">
        <v>393</v>
      </c>
      <c r="H7" s="63" t="s">
        <v>429</v>
      </c>
      <c r="I7" s="63" t="s">
        <v>429</v>
      </c>
      <c r="J7" s="63" t="s">
        <v>429</v>
      </c>
      <c r="K7" s="63"/>
      <c r="L7" s="63">
        <v>7</v>
      </c>
      <c r="M7" s="63" t="s">
        <v>394</v>
      </c>
      <c r="N7" s="63"/>
      <c r="O7" s="63">
        <v>9</v>
      </c>
      <c r="P7" s="63" t="s">
        <v>395</v>
      </c>
      <c r="Q7" s="63"/>
      <c r="R7" s="63">
        <v>11</v>
      </c>
      <c r="S7" s="63" t="s">
        <v>396</v>
      </c>
      <c r="T7" s="64"/>
      <c r="U7" s="59"/>
      <c r="V7" s="59"/>
    </row>
    <row r="8" spans="1:22" s="68" customFormat="1">
      <c r="A8" s="65"/>
      <c r="B8" s="66" t="s">
        <v>397</v>
      </c>
      <c r="C8" s="132" t="s">
        <v>398</v>
      </c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4"/>
      <c r="U8" s="67"/>
      <c r="V8" s="67"/>
    </row>
    <row r="9" spans="1:22" s="76" customFormat="1">
      <c r="A9" s="69"/>
      <c r="B9" s="70" t="s">
        <v>399</v>
      </c>
      <c r="C9" s="71" t="s">
        <v>400</v>
      </c>
      <c r="D9" s="72"/>
      <c r="E9" s="73"/>
      <c r="F9" s="73"/>
      <c r="G9" s="73"/>
      <c r="H9" s="73"/>
      <c r="I9" s="73"/>
      <c r="J9" s="73"/>
      <c r="K9" s="73"/>
      <c r="L9" s="113"/>
      <c r="M9" s="74"/>
      <c r="N9" s="73"/>
      <c r="O9" s="73"/>
      <c r="P9" s="73"/>
      <c r="Q9" s="73"/>
      <c r="R9" s="73"/>
      <c r="S9" s="73"/>
      <c r="T9" s="75"/>
      <c r="U9" s="55"/>
      <c r="V9" s="55"/>
    </row>
    <row r="10" spans="1:22">
      <c r="A10" s="57"/>
      <c r="B10" s="77">
        <v>1</v>
      </c>
      <c r="C10" s="78" t="s">
        <v>401</v>
      </c>
      <c r="D10" s="79" t="s">
        <v>402</v>
      </c>
      <c r="E10" s="80">
        <v>5</v>
      </c>
      <c r="F10" s="74">
        <v>1</v>
      </c>
      <c r="G10" s="81">
        <f>$E10*F10</f>
        <v>5</v>
      </c>
      <c r="H10" s="81"/>
      <c r="I10" s="81"/>
      <c r="J10" s="81"/>
      <c r="K10" s="82">
        <v>1.1000000000000001</v>
      </c>
      <c r="L10" s="82">
        <f>K10+0.2</f>
        <v>1.3</v>
      </c>
      <c r="M10" s="81">
        <f>$E10*K10</f>
        <v>5.5</v>
      </c>
      <c r="N10" s="82">
        <v>0.9</v>
      </c>
      <c r="O10" s="82">
        <f>N10+0.2</f>
        <v>1.1000000000000001</v>
      </c>
      <c r="P10" s="81">
        <f>$E10*N10</f>
        <v>4.5</v>
      </c>
      <c r="Q10" s="82">
        <v>1.2</v>
      </c>
      <c r="R10" s="82">
        <f>Q10+0.2</f>
        <v>1.4</v>
      </c>
      <c r="S10" s="81">
        <f>$E10*Q10</f>
        <v>6</v>
      </c>
      <c r="T10" s="83"/>
    </row>
    <row r="11" spans="1:22">
      <c r="A11" s="57"/>
      <c r="B11" s="84">
        <v>2</v>
      </c>
      <c r="C11" s="85" t="s">
        <v>403</v>
      </c>
      <c r="D11" s="86" t="s">
        <v>402</v>
      </c>
      <c r="E11" s="87">
        <v>10</v>
      </c>
      <c r="F11" s="88">
        <v>2</v>
      </c>
      <c r="G11" s="89">
        <f>$E11*F11</f>
        <v>20</v>
      </c>
      <c r="H11" s="89"/>
      <c r="I11" s="89"/>
      <c r="J11" s="89"/>
      <c r="K11" s="90">
        <v>2.1</v>
      </c>
      <c r="L11" s="90">
        <f t="shared" ref="L11:L12" si="0">K11+0.2</f>
        <v>2.3000000000000003</v>
      </c>
      <c r="M11" s="89">
        <f t="shared" ref="M11:M12" si="1">$E11*K11</f>
        <v>21</v>
      </c>
      <c r="N11" s="90">
        <v>1.9</v>
      </c>
      <c r="O11" s="90">
        <f t="shared" ref="O11:O12" si="2">N11+0.2</f>
        <v>2.1</v>
      </c>
      <c r="P11" s="89">
        <f>$E11*N11</f>
        <v>19</v>
      </c>
      <c r="Q11" s="90">
        <v>1.9</v>
      </c>
      <c r="R11" s="90">
        <f t="shared" ref="R11:R12" si="3">Q11+0.2</f>
        <v>2.1</v>
      </c>
      <c r="S11" s="89">
        <f>$E11*Q11</f>
        <v>19</v>
      </c>
      <c r="T11" s="91"/>
    </row>
    <row r="12" spans="1:22">
      <c r="A12" s="57"/>
      <c r="B12" s="84">
        <v>3</v>
      </c>
      <c r="C12" s="85" t="s">
        <v>404</v>
      </c>
      <c r="D12" s="86" t="s">
        <v>405</v>
      </c>
      <c r="E12" s="87">
        <v>15</v>
      </c>
      <c r="F12" s="88">
        <v>3</v>
      </c>
      <c r="G12" s="89">
        <f>$E12*F12</f>
        <v>45</v>
      </c>
      <c r="H12" s="89"/>
      <c r="I12" s="89"/>
      <c r="J12" s="89"/>
      <c r="K12" s="90">
        <v>3.1</v>
      </c>
      <c r="L12" s="90">
        <f t="shared" si="0"/>
        <v>3.3000000000000003</v>
      </c>
      <c r="M12" s="89">
        <f t="shared" si="1"/>
        <v>46.5</v>
      </c>
      <c r="N12" s="90">
        <v>2.9</v>
      </c>
      <c r="O12" s="90">
        <f t="shared" si="2"/>
        <v>3.1</v>
      </c>
      <c r="P12" s="89">
        <f>$E12*N12</f>
        <v>43.5</v>
      </c>
      <c r="Q12" s="90">
        <v>2.5</v>
      </c>
      <c r="R12" s="90">
        <f t="shared" si="3"/>
        <v>2.7</v>
      </c>
      <c r="S12" s="89">
        <f>$E12*Q12</f>
        <v>37.5</v>
      </c>
      <c r="T12" s="91"/>
    </row>
    <row r="13" spans="1:22">
      <c r="A13" s="57"/>
      <c r="B13" s="92"/>
      <c r="C13" s="93" t="s">
        <v>406</v>
      </c>
      <c r="D13" s="94"/>
      <c r="E13" s="95"/>
      <c r="F13" s="96"/>
      <c r="G13" s="97"/>
      <c r="H13" s="97"/>
      <c r="I13" s="97"/>
      <c r="J13" s="97"/>
      <c r="K13" s="98"/>
      <c r="L13" s="98"/>
      <c r="M13" s="97"/>
      <c r="N13" s="98"/>
      <c r="O13" s="98"/>
      <c r="P13" s="97"/>
      <c r="Q13" s="98"/>
      <c r="R13" s="98"/>
      <c r="S13" s="97"/>
      <c r="T13" s="99"/>
    </row>
    <row r="14" spans="1:22">
      <c r="A14" s="57"/>
      <c r="B14" s="135" t="s">
        <v>407</v>
      </c>
      <c r="C14" s="136"/>
      <c r="D14" s="136"/>
      <c r="E14" s="136"/>
      <c r="F14" s="100"/>
      <c r="G14" s="73">
        <f>SUBTOTAL(9,G10:G13)</f>
        <v>70</v>
      </c>
      <c r="H14" s="73"/>
      <c r="I14" s="73"/>
      <c r="J14" s="73"/>
      <c r="K14" s="73"/>
      <c r="L14" s="73"/>
      <c r="M14" s="73">
        <f>SUBTOTAL(9,M10:M13)</f>
        <v>73</v>
      </c>
      <c r="N14" s="73"/>
      <c r="O14" s="73"/>
      <c r="P14" s="73">
        <f>SUBTOTAL(9,P10:P13)</f>
        <v>67</v>
      </c>
      <c r="Q14" s="73"/>
      <c r="R14" s="73"/>
      <c r="S14" s="73">
        <f>SUBTOTAL(9,S10:S13)</f>
        <v>62.5</v>
      </c>
      <c r="T14" s="101"/>
    </row>
    <row r="15" spans="1:22">
      <c r="A15" s="57"/>
      <c r="B15" s="149" t="s">
        <v>408</v>
      </c>
      <c r="C15" s="150"/>
      <c r="D15" s="150"/>
      <c r="E15" s="150"/>
      <c r="F15" s="102"/>
      <c r="G15" s="103"/>
      <c r="H15" s="103"/>
      <c r="I15" s="103"/>
      <c r="J15" s="103"/>
      <c r="K15" s="104"/>
      <c r="L15" s="104"/>
      <c r="M15" s="104">
        <f>$G$14-M14</f>
        <v>-3</v>
      </c>
      <c r="N15" s="104"/>
      <c r="O15" s="104"/>
      <c r="P15" s="104">
        <f>$G$14-P14</f>
        <v>3</v>
      </c>
      <c r="Q15" s="104"/>
      <c r="R15" s="104"/>
      <c r="S15" s="104">
        <f>$G$14-S14</f>
        <v>7.5</v>
      </c>
      <c r="T15" s="101"/>
    </row>
    <row r="16" spans="1:22">
      <c r="A16" s="57"/>
      <c r="B16" s="149" t="s">
        <v>409</v>
      </c>
      <c r="C16" s="150"/>
      <c r="D16" s="150"/>
      <c r="E16" s="150"/>
      <c r="F16" s="102"/>
      <c r="G16" s="105"/>
      <c r="H16" s="105"/>
      <c r="I16" s="105"/>
      <c r="J16" s="105"/>
      <c r="K16" s="104"/>
      <c r="L16" s="104"/>
      <c r="M16" s="105">
        <f>M15/$G$14</f>
        <v>-4.2857142857142858E-2</v>
      </c>
      <c r="N16" s="104"/>
      <c r="O16" s="104"/>
      <c r="P16" s="105">
        <f>P15/$G$14</f>
        <v>4.2857142857142858E-2</v>
      </c>
      <c r="Q16" s="104"/>
      <c r="R16" s="104"/>
      <c r="S16" s="105">
        <f>S15/$G$14</f>
        <v>0.10714285714285714</v>
      </c>
      <c r="T16" s="101"/>
    </row>
    <row r="17" spans="2:22" s="107" customFormat="1" ht="16.8" customHeight="1">
      <c r="B17" s="151" t="s">
        <v>415</v>
      </c>
      <c r="C17" s="152"/>
      <c r="D17" s="151" t="s">
        <v>416</v>
      </c>
      <c r="E17" s="152"/>
      <c r="F17" s="152"/>
      <c r="G17" s="152"/>
      <c r="H17" s="152"/>
      <c r="I17" s="152"/>
      <c r="J17" s="152"/>
      <c r="K17" s="152"/>
      <c r="L17" s="153"/>
      <c r="M17" s="157" t="s">
        <v>417</v>
      </c>
      <c r="N17" s="158"/>
      <c r="O17" s="158"/>
      <c r="P17" s="159"/>
      <c r="Q17" s="157" t="s">
        <v>418</v>
      </c>
      <c r="R17" s="158"/>
      <c r="S17" s="158"/>
      <c r="T17" s="159"/>
      <c r="U17" s="106"/>
      <c r="V17" s="106"/>
    </row>
    <row r="18" spans="2:22" ht="99.75" customHeight="1">
      <c r="B18" s="160" t="s">
        <v>410</v>
      </c>
      <c r="C18" s="161"/>
      <c r="D18" s="154" t="s">
        <v>410</v>
      </c>
      <c r="E18" s="155"/>
      <c r="F18" s="155"/>
      <c r="G18" s="155"/>
      <c r="H18" s="155"/>
      <c r="I18" s="155"/>
      <c r="J18" s="155"/>
      <c r="K18" s="155"/>
      <c r="L18" s="156"/>
      <c r="M18" s="162" t="s">
        <v>410</v>
      </c>
      <c r="N18" s="163"/>
      <c r="O18" s="163"/>
      <c r="P18" s="164"/>
      <c r="Q18" s="162" t="s">
        <v>410</v>
      </c>
      <c r="R18" s="163"/>
      <c r="S18" s="163"/>
      <c r="T18" s="164"/>
    </row>
    <row r="19" spans="2:22">
      <c r="C19" s="60"/>
      <c r="K19" s="109"/>
      <c r="L19" s="109"/>
      <c r="M19" s="109"/>
      <c r="N19" s="109"/>
      <c r="O19" s="109"/>
      <c r="S19" s="109"/>
      <c r="T19" s="110"/>
    </row>
    <row r="20" spans="2:22">
      <c r="C20" s="60"/>
      <c r="K20" s="109"/>
      <c r="L20" s="109"/>
      <c r="M20" s="109"/>
      <c r="N20" s="109"/>
      <c r="O20" s="109"/>
      <c r="S20" s="109"/>
      <c r="T20" s="110"/>
    </row>
    <row r="40" spans="2:22">
      <c r="B40" s="75" t="s">
        <v>411</v>
      </c>
      <c r="U40" s="112"/>
      <c r="V40" s="112"/>
    </row>
    <row r="41" spans="2:22">
      <c r="B41" s="75" t="s">
        <v>412</v>
      </c>
      <c r="U41" s="112"/>
      <c r="V41" s="112"/>
    </row>
  </sheetData>
  <mergeCells count="27">
    <mergeCell ref="D17:L17"/>
    <mergeCell ref="D18:L18"/>
    <mergeCell ref="B17:C17"/>
    <mergeCell ref="M17:P17"/>
    <mergeCell ref="Q17:T17"/>
    <mergeCell ref="B18:C18"/>
    <mergeCell ref="M18:P18"/>
    <mergeCell ref="Q18:T18"/>
    <mergeCell ref="B15:E15"/>
    <mergeCell ref="B16:E16"/>
    <mergeCell ref="K5:M5"/>
    <mergeCell ref="N5:P5"/>
    <mergeCell ref="Q5:S5"/>
    <mergeCell ref="T5:T6"/>
    <mergeCell ref="C8:T8"/>
    <mergeCell ref="B14:E14"/>
    <mergeCell ref="B1:C4"/>
    <mergeCell ref="D1:T1"/>
    <mergeCell ref="D2:T2"/>
    <mergeCell ref="D3:T3"/>
    <mergeCell ref="D4:T4"/>
    <mergeCell ref="B5:B6"/>
    <mergeCell ref="C5:C6"/>
    <mergeCell ref="D5:D6"/>
    <mergeCell ref="E5:E6"/>
    <mergeCell ref="F5:G5"/>
    <mergeCell ref="H5:J5"/>
  </mergeCells>
  <printOptions horizontalCentered="1"/>
  <pageMargins left="0.17" right="7.8740157480315001E-2" top="0.22" bottom="0.24" header="0.15748031496063" footer="0.05"/>
  <pageSetup paperSize="9" scale="56" fitToHeight="0" orientation="landscape" r:id="rId1"/>
  <headerFooter>
    <oddFooter>&amp;L&amp;"Times New Roman,Italic"&amp;8&amp;F&amp;C&amp;"Times New Roman,Italic"Gói thầu có ngân sách &lt;5 tỉ: CHT và Khối Thu mua đề xuất, GDDA quyết định
Gói thầu có ngân sách &gt;=5 tỉ: GDDA và Khối Thu mua đề xuất, BTGĐ quyết định&amp;R&amp;"Times New Roman,Italic"&amp;8&amp;P/&amp;N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714C-0502-49E0-847C-22BE6DF6E700}">
  <sheetPr>
    <tabColor rgb="FFFFFF00"/>
  </sheetPr>
  <dimension ref="B2:G10"/>
  <sheetViews>
    <sheetView showGridLines="0" workbookViewId="0">
      <selection activeCell="O27" sqref="O27"/>
    </sheetView>
  </sheetViews>
  <sheetFormatPr defaultRowHeight="14.4"/>
  <cols>
    <col min="2" max="2" width="11.109375" bestFit="1" customWidth="1"/>
    <col min="4" max="4" width="9.77734375" customWidth="1"/>
    <col min="5" max="5" width="15.88671875" customWidth="1"/>
    <col min="6" max="6" width="20.77734375" bestFit="1" customWidth="1"/>
  </cols>
  <sheetData>
    <row r="2" spans="2:7">
      <c r="B2" s="127" t="s">
        <v>422</v>
      </c>
      <c r="C2" s="128" t="s">
        <v>419</v>
      </c>
      <c r="D2" s="129"/>
      <c r="E2" s="129"/>
      <c r="F2" s="130"/>
    </row>
    <row r="3" spans="2:7">
      <c r="B3" s="114" t="s">
        <v>423</v>
      </c>
      <c r="C3" s="115" t="s">
        <v>421</v>
      </c>
      <c r="D3" s="116"/>
      <c r="E3" s="116" t="s">
        <v>208</v>
      </c>
      <c r="F3" s="117" t="s">
        <v>216</v>
      </c>
      <c r="G3" s="7"/>
    </row>
    <row r="4" spans="2:7">
      <c r="B4" s="118"/>
      <c r="C4" s="119"/>
      <c r="D4" s="120"/>
      <c r="E4" s="120"/>
      <c r="F4" s="121" t="s">
        <v>217</v>
      </c>
      <c r="G4" s="7"/>
    </row>
    <row r="5" spans="2:7">
      <c r="B5" s="118"/>
      <c r="C5" s="119"/>
      <c r="D5" s="120"/>
      <c r="E5" s="120"/>
      <c r="F5" s="121" t="s">
        <v>218</v>
      </c>
      <c r="G5" s="7"/>
    </row>
    <row r="6" spans="2:7">
      <c r="B6" s="122"/>
      <c r="C6" s="123"/>
      <c r="D6" s="124"/>
      <c r="E6" s="124"/>
      <c r="F6" s="125" t="s">
        <v>420</v>
      </c>
      <c r="G6" s="7"/>
    </row>
    <row r="7" spans="2:7">
      <c r="B7" s="114" t="s">
        <v>423</v>
      </c>
      <c r="C7" s="115" t="s">
        <v>207</v>
      </c>
      <c r="D7" s="116"/>
      <c r="E7" s="116" t="s">
        <v>208</v>
      </c>
      <c r="F7" s="117" t="s">
        <v>216</v>
      </c>
      <c r="G7" s="7"/>
    </row>
    <row r="8" spans="2:7">
      <c r="B8" s="118"/>
      <c r="C8" s="119" t="s">
        <v>424</v>
      </c>
      <c r="D8" s="120"/>
      <c r="E8" s="120"/>
      <c r="F8" s="121" t="s">
        <v>217</v>
      </c>
      <c r="G8" s="7"/>
    </row>
    <row r="9" spans="2:7">
      <c r="B9" s="118"/>
      <c r="C9" s="120"/>
      <c r="D9" s="120"/>
      <c r="E9" s="120"/>
      <c r="F9" s="121" t="s">
        <v>218</v>
      </c>
      <c r="G9" s="7"/>
    </row>
    <row r="10" spans="2:7">
      <c r="B10" s="122"/>
      <c r="C10" s="126"/>
      <c r="D10" s="126"/>
      <c r="E10" s="126"/>
      <c r="F10" s="12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Item</vt:lpstr>
      <vt:lpstr>Master data - Item</vt:lpstr>
      <vt:lpstr>Item Characteristic</vt:lpstr>
      <vt:lpstr>Master data - Vendor</vt:lpstr>
      <vt:lpstr>Master data - Project</vt:lpstr>
      <vt:lpstr>Project Material</vt:lpstr>
      <vt:lpstr>Overview Item Price</vt:lpstr>
      <vt:lpstr>Bieu mau so sanh du an</vt:lpstr>
      <vt:lpstr>Phan tich</vt:lpstr>
      <vt:lpstr>'Bieu mau so sanh du an'!Print_Area</vt:lpstr>
      <vt:lpstr>'Master data - Vendor'!Print_Area</vt:lpstr>
      <vt:lpstr>'Bieu mau so sanh du an'!Print_Titles</vt:lpstr>
      <vt:lpstr>'Master data - Vendor'!Print_Titles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Truc, Do Thai Thanh</dc:creator>
  <cp:lastModifiedBy>Truc, Do Thai Thanh</cp:lastModifiedBy>
  <dcterms:created xsi:type="dcterms:W3CDTF">2022-05-04T07:25:56Z</dcterms:created>
  <dcterms:modified xsi:type="dcterms:W3CDTF">2022-05-28T11:44:22Z</dcterms:modified>
</cp:coreProperties>
</file>