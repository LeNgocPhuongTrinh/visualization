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THER\Linkedin\CV\"/>
    </mc:Choice>
  </mc:AlternateContent>
  <workbookProtection workbookPassword="C7C6" lockStructure="1"/>
  <bookViews>
    <workbookView xWindow="0" yWindow="0" windowWidth="28800" windowHeight="13620"/>
  </bookViews>
  <sheets>
    <sheet name="Dashboard - YTD Value" sheetId="1" r:id="rId1"/>
    <sheet name="Chart" sheetId="2" state="hidden" r:id="rId2"/>
  </sheets>
  <externalReferences>
    <externalReference r:id="rId3"/>
  </externalReferences>
  <definedNames>
    <definedName name="FG_Table" comment="SLOB Report Run">OFFSET(#REF!,0,0,COUNTA(#REF!), COUNTA(#REF!))</definedName>
    <definedName name="FGMasterData">[1]Path!$G$10</definedName>
    <definedName name="ReportDate">#REF!</definedName>
    <definedName name="SLOBFilePath" comment="Proposal Loss">[1]Path!$G$4</definedName>
    <definedName name="WHReportSLOB">[1]Path!$G$8</definedName>
    <definedName name="WorkbookPath">[1]Path!$G$6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A22" i="2" l="1"/>
  <c r="B22" i="2"/>
  <c r="D22" i="2" s="1"/>
  <c r="E22" i="2" s="1"/>
  <c r="C22" i="2"/>
  <c r="F22" i="2"/>
  <c r="H22" i="2" s="1"/>
  <c r="A23" i="2"/>
  <c r="B23" i="2"/>
  <c r="C23" i="2"/>
  <c r="F23" i="2"/>
  <c r="H23" i="2" s="1"/>
  <c r="A24" i="2"/>
  <c r="B24" i="2"/>
  <c r="C24" i="2"/>
  <c r="A25" i="2"/>
  <c r="B25" i="2"/>
  <c r="C25" i="2"/>
  <c r="F25" i="2" s="1"/>
  <c r="H25" i="2" s="1"/>
  <c r="D25" i="2"/>
  <c r="E25" i="2" s="1"/>
  <c r="A49" i="2"/>
  <c r="B49" i="2"/>
  <c r="C49" i="2"/>
  <c r="A50" i="2"/>
  <c r="B50" i="2"/>
  <c r="C50" i="2"/>
  <c r="F50" i="2" s="1"/>
  <c r="H50" i="2" s="1"/>
  <c r="A51" i="2"/>
  <c r="B51" i="2"/>
  <c r="C51" i="2"/>
  <c r="A76" i="2"/>
  <c r="B76" i="2"/>
  <c r="C76" i="2"/>
  <c r="D76" i="2"/>
  <c r="E76" i="2" s="1"/>
  <c r="F76" i="2"/>
  <c r="G76" i="2"/>
  <c r="H76" i="2"/>
  <c r="I76" i="2"/>
  <c r="A77" i="2"/>
  <c r="B77" i="2"/>
  <c r="C77" i="2"/>
  <c r="D77" i="2" s="1"/>
  <c r="E77" i="2" s="1"/>
  <c r="F77" i="2"/>
  <c r="G77" i="2"/>
  <c r="I77" i="2" s="1"/>
  <c r="H77" i="2"/>
  <c r="A101" i="2"/>
  <c r="C101" i="2" s="1"/>
  <c r="B101" i="2"/>
  <c r="M101" i="2"/>
  <c r="N101" i="2"/>
  <c r="O101" i="2" s="1"/>
  <c r="A102" i="2"/>
  <c r="B102" i="2" s="1"/>
  <c r="C102" i="2"/>
  <c r="A103" i="2"/>
  <c r="C103" i="2" s="1"/>
  <c r="A104" i="2"/>
  <c r="B104" i="2" s="1"/>
  <c r="M107" i="2"/>
  <c r="N107" i="2"/>
  <c r="O107" i="2"/>
  <c r="B133" i="2"/>
  <c r="B140" i="2" s="1"/>
  <c r="C133" i="2"/>
  <c r="C140" i="2" s="1"/>
  <c r="D133" i="2"/>
  <c r="D140" i="2" s="1"/>
  <c r="E133" i="2"/>
  <c r="E140" i="2" s="1"/>
  <c r="F133" i="2"/>
  <c r="F140" i="2" s="1"/>
  <c r="G133" i="2"/>
  <c r="G140" i="2" s="1"/>
  <c r="H133" i="2"/>
  <c r="H140" i="2" s="1"/>
  <c r="I133" i="2"/>
  <c r="J133" i="2"/>
  <c r="J140" i="2" s="1"/>
  <c r="K133" i="2"/>
  <c r="A134" i="2"/>
  <c r="D134" i="2"/>
  <c r="R134" i="2"/>
  <c r="S134" i="2"/>
  <c r="A135" i="2"/>
  <c r="A136" i="2"/>
  <c r="K140" i="2"/>
  <c r="R140" i="2"/>
  <c r="S140" i="2"/>
  <c r="B169" i="2"/>
  <c r="B176" i="2" s="1"/>
  <c r="C169" i="2"/>
  <c r="C176" i="2" s="1"/>
  <c r="D169" i="2"/>
  <c r="E169" i="2"/>
  <c r="F169" i="2"/>
  <c r="F176" i="2" s="1"/>
  <c r="A170" i="2"/>
  <c r="R170" i="2"/>
  <c r="A171" i="2"/>
  <c r="F171" i="2" s="1"/>
  <c r="D176" i="2"/>
  <c r="E176" i="2"/>
  <c r="R176" i="2"/>
  <c r="S176" i="2"/>
  <c r="S177" i="2"/>
  <c r="B136" i="2" l="1"/>
  <c r="B134" i="2"/>
  <c r="J134" i="2"/>
  <c r="B135" i="2"/>
  <c r="E134" i="2"/>
  <c r="J135" i="2"/>
  <c r="E135" i="2"/>
  <c r="D135" i="2"/>
  <c r="C171" i="2"/>
  <c r="B171" i="2"/>
  <c r="B170" i="2"/>
  <c r="E171" i="2"/>
  <c r="D171" i="2"/>
  <c r="C135" i="2"/>
  <c r="J136" i="2"/>
  <c r="D136" i="2"/>
  <c r="K136" i="2"/>
  <c r="C136" i="2"/>
  <c r="I134" i="2"/>
  <c r="I135" i="2"/>
  <c r="I140" i="2"/>
  <c r="F135" i="2"/>
  <c r="E136" i="2"/>
  <c r="K135" i="2"/>
  <c r="G134" i="2"/>
  <c r="C134" i="2"/>
  <c r="F134" i="2"/>
  <c r="K134" i="2"/>
  <c r="B103" i="2"/>
  <c r="J103" i="2"/>
  <c r="J104" i="2" s="1"/>
  <c r="C104" i="2"/>
  <c r="J107" i="2" s="1"/>
  <c r="J108" i="2" s="1"/>
  <c r="I103" i="2"/>
  <c r="I104" i="2" s="1"/>
  <c r="D49" i="2"/>
  <c r="E49" i="2" s="1"/>
  <c r="D51" i="2"/>
  <c r="E51" i="2" s="1"/>
  <c r="F49" i="2"/>
  <c r="H49" i="2" s="1"/>
  <c r="D50" i="2"/>
  <c r="E50" i="2" s="1"/>
  <c r="D23" i="2"/>
  <c r="E23" i="2" s="1"/>
  <c r="F24" i="2"/>
  <c r="H24" i="2" s="1"/>
  <c r="G23" i="2"/>
  <c r="I23" i="2" s="1"/>
  <c r="G22" i="2"/>
  <c r="I22" i="2" s="1"/>
  <c r="D24" i="2"/>
  <c r="E24" i="2" s="1"/>
  <c r="G24" i="2"/>
  <c r="I24" i="2" s="1"/>
  <c r="J101" i="2"/>
  <c r="J102" i="2" s="1"/>
  <c r="I101" i="2"/>
  <c r="I102" i="2" s="1"/>
  <c r="J105" i="2"/>
  <c r="J106" i="2" s="1"/>
  <c r="I105" i="2"/>
  <c r="I106" i="2" s="1"/>
  <c r="G51" i="2"/>
  <c r="I51" i="2" s="1"/>
  <c r="E170" i="2"/>
  <c r="H136" i="2"/>
  <c r="F51" i="2"/>
  <c r="H51" i="2" s="1"/>
  <c r="G50" i="2"/>
  <c r="I50" i="2" s="1"/>
  <c r="G136" i="2"/>
  <c r="H135" i="2"/>
  <c r="H134" i="2"/>
  <c r="G49" i="2"/>
  <c r="I49" i="2" s="1"/>
  <c r="F170" i="2"/>
  <c r="C170" i="2"/>
  <c r="F136" i="2"/>
  <c r="G135" i="2"/>
  <c r="G25" i="2"/>
  <c r="I25" i="2" s="1"/>
  <c r="I136" i="2"/>
  <c r="D170" i="2"/>
  <c r="C179" i="2" l="1"/>
  <c r="C180" i="2" s="1"/>
  <c r="F179" i="2"/>
  <c r="F180" i="2" s="1"/>
  <c r="B179" i="2"/>
  <c r="B180" i="2" s="1"/>
  <c r="E179" i="2"/>
  <c r="E180" i="2" s="1"/>
  <c r="D179" i="2"/>
  <c r="D180" i="2" s="1"/>
  <c r="D177" i="2"/>
  <c r="D178" i="2" s="1"/>
  <c r="G141" i="2"/>
  <c r="G142" i="2" s="1"/>
  <c r="H143" i="2"/>
  <c r="H144" i="2" s="1"/>
  <c r="F141" i="2"/>
  <c r="F142" i="2" s="1"/>
  <c r="K141" i="2"/>
  <c r="K142" i="2" s="1"/>
  <c r="H145" i="2"/>
  <c r="H146" i="2" s="1"/>
  <c r="J141" i="2"/>
  <c r="J142" i="2" s="1"/>
  <c r="H141" i="2"/>
  <c r="H142" i="2" s="1"/>
  <c r="B143" i="2"/>
  <c r="B144" i="2" s="1"/>
  <c r="F143" i="2"/>
  <c r="F144" i="2" s="1"/>
  <c r="G143" i="2"/>
  <c r="G144" i="2" s="1"/>
  <c r="D104" i="2"/>
  <c r="E104" i="2" s="1"/>
  <c r="O102" i="2" s="1"/>
  <c r="I107" i="2"/>
  <c r="I108" i="2" s="1"/>
  <c r="D103" i="2"/>
  <c r="E103" i="2" s="1"/>
  <c r="N102" i="2" s="1"/>
  <c r="D102" i="2"/>
  <c r="E102" i="2" s="1"/>
  <c r="M102" i="2" s="1"/>
  <c r="D101" i="2"/>
  <c r="F103" i="2" s="1"/>
  <c r="N108" i="2" s="1"/>
  <c r="H102" i="2"/>
  <c r="H103" i="2" s="1"/>
  <c r="H104" i="2" s="1"/>
  <c r="H105" i="2" s="1"/>
  <c r="H106" i="2" s="1"/>
  <c r="H107" i="2" s="1"/>
  <c r="H108" i="2" s="1"/>
  <c r="F107" i="2" s="1"/>
  <c r="F108" i="2" s="1"/>
  <c r="F109" i="2" s="1"/>
  <c r="L135" i="2"/>
  <c r="M135" i="2" s="1"/>
  <c r="R135" i="2" s="1"/>
  <c r="B177" i="2"/>
  <c r="B178" i="2" s="1"/>
  <c r="I145" i="2"/>
  <c r="I146" i="2" s="1"/>
  <c r="E177" i="2"/>
  <c r="E178" i="2" s="1"/>
  <c r="K145" i="2"/>
  <c r="K146" i="2" s="1"/>
  <c r="G171" i="2"/>
  <c r="H171" i="2" s="1"/>
  <c r="R171" i="2" s="1"/>
  <c r="F145" i="2"/>
  <c r="F146" i="2" s="1"/>
  <c r="L134" i="2"/>
  <c r="A178" i="2"/>
  <c r="A179" i="2" s="1"/>
  <c r="A180" i="2" s="1"/>
  <c r="I141" i="2"/>
  <c r="I142" i="2" s="1"/>
  <c r="D141" i="2"/>
  <c r="D142" i="2" s="1"/>
  <c r="G145" i="2"/>
  <c r="G146" i="2" s="1"/>
  <c r="I143" i="2"/>
  <c r="I144" i="2" s="1"/>
  <c r="D145" i="2"/>
  <c r="D146" i="2" s="1"/>
  <c r="D143" i="2"/>
  <c r="D144" i="2" s="1"/>
  <c r="B141" i="2"/>
  <c r="B142" i="2" s="1"/>
  <c r="C145" i="2"/>
  <c r="C146" i="2" s="1"/>
  <c r="E141" i="2"/>
  <c r="E142" i="2" s="1"/>
  <c r="A142" i="2"/>
  <c r="A143" i="2" s="1"/>
  <c r="A144" i="2" s="1"/>
  <c r="A145" i="2" s="1"/>
  <c r="A146" i="2" s="1"/>
  <c r="E145" i="2"/>
  <c r="E146" i="2" s="1"/>
  <c r="J143" i="2"/>
  <c r="J144" i="2" s="1"/>
  <c r="L136" i="2"/>
  <c r="M136" i="2" s="1"/>
  <c r="S135" i="2" s="1"/>
  <c r="E143" i="2"/>
  <c r="E144" i="2" s="1"/>
  <c r="C143" i="2"/>
  <c r="C144" i="2" s="1"/>
  <c r="C177" i="2"/>
  <c r="C178" i="2" s="1"/>
  <c r="F177" i="2"/>
  <c r="F178" i="2" s="1"/>
  <c r="C141" i="2"/>
  <c r="C142" i="2" s="1"/>
  <c r="J145" i="2"/>
  <c r="J146" i="2" s="1"/>
  <c r="B145" i="2"/>
  <c r="B146" i="2" s="1"/>
  <c r="G170" i="2"/>
  <c r="K143" i="2"/>
  <c r="K144" i="2" s="1"/>
  <c r="E101" i="2" l="1"/>
  <c r="L102" i="2" s="1"/>
  <c r="F101" i="2"/>
  <c r="L108" i="2" s="1"/>
  <c r="F102" i="2"/>
  <c r="M108" i="2" s="1"/>
  <c r="F104" i="2"/>
  <c r="O108" i="2" s="1"/>
  <c r="N134" i="2"/>
  <c r="Q141" i="2" s="1"/>
  <c r="N135" i="2"/>
  <c r="R141" i="2" s="1"/>
  <c r="M134" i="2"/>
  <c r="Q135" i="2" s="1"/>
  <c r="N136" i="2"/>
  <c r="S141" i="2" s="1"/>
  <c r="I171" i="2"/>
  <c r="R177" i="2" s="1"/>
  <c r="I170" i="2"/>
  <c r="Q177" i="2" s="1"/>
  <c r="H170" i="2"/>
  <c r="Q171" i="2" s="1"/>
</calcChain>
</file>

<file path=xl/sharedStrings.xml><?xml version="1.0" encoding="utf-8"?>
<sst xmlns="http://schemas.openxmlformats.org/spreadsheetml/2006/main" count="219" uniqueCount="63">
  <si>
    <t>RPM</t>
  </si>
  <si>
    <t>Grand Total</t>
  </si>
  <si>
    <t>Pack</t>
  </si>
  <si>
    <t>Raw</t>
  </si>
  <si>
    <t>09. ETC</t>
  </si>
  <si>
    <t>08. Healthy Food</t>
  </si>
  <si>
    <t>06. Seasoning &amp; Sauce</t>
  </si>
  <si>
    <t>03. Snack</t>
  </si>
  <si>
    <t>Finished Goods</t>
  </si>
  <si>
    <t>Semi FGs</t>
  </si>
  <si>
    <t>FG</t>
  </si>
  <si>
    <t xml:space="preserve">LossChange </t>
  </si>
  <si>
    <t xml:space="preserve">Actual Loss </t>
  </si>
  <si>
    <t xml:space="preserve">Estimated Loss </t>
  </si>
  <si>
    <t>Category</t>
  </si>
  <si>
    <t>Location</t>
  </si>
  <si>
    <t>Group</t>
  </si>
  <si>
    <t>Resales</t>
  </si>
  <si>
    <t>Disposal</t>
  </si>
  <si>
    <t>Giveaway</t>
  </si>
  <si>
    <t>InternalSales</t>
  </si>
  <si>
    <t>Values</t>
  </si>
  <si>
    <t>Type</t>
  </si>
  <si>
    <t>CJ</t>
  </si>
  <si>
    <t>LocationType</t>
  </si>
  <si>
    <t>Done</t>
  </si>
  <si>
    <t>Status</t>
  </si>
  <si>
    <t>Year</t>
  </si>
  <si>
    <t>YTD Proposal - Actual Loss</t>
  </si>
  <si>
    <t>Middle value for each column</t>
  </si>
  <si>
    <t>Display label above</t>
  </si>
  <si>
    <t>Middle</t>
  </si>
  <si>
    <t>Location segment label</t>
  </si>
  <si>
    <t>Location(%)</t>
  </si>
  <si>
    <t>Inner Packaging</t>
  </si>
  <si>
    <t>PH1</t>
  </si>
  <si>
    <t>Sum of Actual Loss</t>
  </si>
  <si>
    <t>(All)</t>
  </si>
  <si>
    <t>Month</t>
  </si>
  <si>
    <t>COMPOSITION BY LOC/CATE</t>
  </si>
  <si>
    <t>Location %</t>
  </si>
  <si>
    <t>2. COMPOSITION</t>
  </si>
  <si>
    <t>Down Data Label</t>
  </si>
  <si>
    <t>Up Data Label</t>
  </si>
  <si>
    <t>Down Arrow</t>
  </si>
  <si>
    <t>Up Arrow</t>
  </si>
  <si>
    <t>Max Right</t>
  </si>
  <si>
    <t>Max Left</t>
  </si>
  <si>
    <t>Actual Loss</t>
  </si>
  <si>
    <t>Requested Loss</t>
  </si>
  <si>
    <t>Factory</t>
  </si>
  <si>
    <t>Row Labels</t>
  </si>
  <si>
    <t>1. LOSS CHANGE</t>
  </si>
  <si>
    <t>KN</t>
  </si>
  <si>
    <t>TP</t>
  </si>
  <si>
    <t>HY</t>
  </si>
  <si>
    <t>TT</t>
  </si>
  <si>
    <t>01. Powdered Beverages</t>
  </si>
  <si>
    <t>02. Nutrition Product</t>
  </si>
  <si>
    <t>04. Milk products</t>
  </si>
  <si>
    <t>07. Liquid beverages</t>
  </si>
  <si>
    <t>DASHBOARD - YTD Proposal</t>
  </si>
  <si>
    <t>Ratio among locations by RPM/FG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</si>
</sst>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\ #,##0_-;\-\ #,##0_-;_-\ &quot;-&quot;??_-;_-@_-"/>
    <numFmt numFmtId="165" formatCode="_-\ #,##0_-;\-\ #,##0_-;_-\ &quot;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Candara"/>
      <family val="2"/>
    </font>
    <font>
      <b/>
      <sz val="12.5"/>
      <color theme="1"/>
      <name val="Candara"/>
      <family val="2"/>
    </font>
    <font>
      <b/>
      <sz val="10"/>
      <color theme="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8"/>
      <color theme="0"/>
      <name val="Gill Sans MT"/>
      <family val="2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34998626667073579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34998626667073579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34998626667073579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34998626667073579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/>
    <xf numFmtId="0" fontId="0" fillId="2" borderId="0" xfId="0" applyFill="1"/>
    <xf numFmtId="0" fontId="5" fillId="2" borderId="0" xfId="0" applyFont="1" applyFill="1"/>
    <xf numFmtId="0" fontId="5" fillId="2" borderId="0" xfId="0" applyFont="1" applyFill="1" applyAlignment="1"/>
    <xf numFmtId="0" fontId="5" fillId="2" borderId="0" xfId="0" applyFont="1" applyFill="1" applyAlignment="1">
      <alignment horizontal="left"/>
    </xf>
    <xf numFmtId="0" fontId="0" fillId="3" borderId="0" xfId="0" applyFill="1"/>
    <xf numFmtId="0" fontId="5" fillId="3" borderId="0" xfId="0" applyFont="1" applyFill="1"/>
    <xf numFmtId="0" fontId="5" fillId="3" borderId="0" xfId="0" applyFont="1" applyFill="1" applyAlignment="1"/>
    <xf numFmtId="0" fontId="5" fillId="3" borderId="0" xfId="0" applyFont="1" applyFill="1" applyAlignment="1">
      <alignment horizontal="left"/>
    </xf>
    <xf numFmtId="0" fontId="0" fillId="3" borderId="0" xfId="0" applyFill="1" applyAlignment="1"/>
    <xf numFmtId="0" fontId="0" fillId="3" borderId="0" xfId="0" applyFill="1" applyAlignment="1">
      <alignment horizontal="left"/>
    </xf>
    <xf numFmtId="0" fontId="0" fillId="4" borderId="0" xfId="0" applyFill="1"/>
    <xf numFmtId="0" fontId="6" fillId="4" borderId="0" xfId="0" applyFont="1" applyFill="1"/>
    <xf numFmtId="164" fontId="5" fillId="0" borderId="0" xfId="0" applyNumberFormat="1" applyFont="1" applyFill="1" applyBorder="1"/>
    <xf numFmtId="164" fontId="5" fillId="0" borderId="5" xfId="0" applyNumberFormat="1" applyFont="1" applyBorder="1"/>
    <xf numFmtId="164" fontId="5" fillId="0" borderId="9" xfId="0" applyNumberFormat="1" applyFont="1" applyBorder="1"/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Border="1"/>
    <xf numFmtId="0" fontId="7" fillId="4" borderId="0" xfId="0" applyFont="1" applyFill="1"/>
    <xf numFmtId="0" fontId="8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left"/>
    </xf>
    <xf numFmtId="0" fontId="5" fillId="3" borderId="0" xfId="0" applyFont="1" applyFill="1" applyBorder="1"/>
    <xf numFmtId="0" fontId="0" fillId="0" borderId="0" xfId="0" pivotButton="1"/>
    <xf numFmtId="0" fontId="3" fillId="3" borderId="0" xfId="0" applyFont="1" applyFill="1"/>
    <xf numFmtId="0" fontId="0" fillId="0" borderId="0" xfId="0" applyAlignment="1">
      <alignment horizontal="left"/>
    </xf>
    <xf numFmtId="0" fontId="10" fillId="2" borderId="0" xfId="0" applyFont="1" applyFill="1" applyAlignment="1">
      <alignment vertical="center"/>
    </xf>
    <xf numFmtId="9" fontId="0" fillId="0" borderId="0" xfId="1" applyFont="1" applyAlignment="1"/>
    <xf numFmtId="2" fontId="0" fillId="0" borderId="0" xfId="1" applyNumberFormat="1" applyFont="1" applyAlignment="1"/>
    <xf numFmtId="0" fontId="1" fillId="0" borderId="0" xfId="0" applyFont="1"/>
    <xf numFmtId="0" fontId="3" fillId="0" borderId="0" xfId="0" applyFont="1"/>
    <xf numFmtId="10" fontId="0" fillId="0" borderId="0" xfId="1" applyNumberFormat="1" applyFont="1" applyAlignment="1"/>
    <xf numFmtId="165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9" fontId="0" fillId="0" borderId="15" xfId="1" applyFont="1" applyBorder="1" applyAlignment="1"/>
    <xf numFmtId="9" fontId="0" fillId="0" borderId="16" xfId="1" applyFont="1" applyBorder="1" applyAlignment="1"/>
    <xf numFmtId="9" fontId="0" fillId="0" borderId="17" xfId="1" applyFont="1" applyBorder="1" applyAlignment="1"/>
    <xf numFmtId="9" fontId="0" fillId="0" borderId="0" xfId="0" applyNumberFormat="1"/>
    <xf numFmtId="0" fontId="4" fillId="6" borderId="0" xfId="0" applyFont="1" applyFill="1"/>
    <xf numFmtId="0" fontId="2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5" fillId="0" borderId="1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0" xfId="0" pivotButton="1" applyFont="1"/>
    <xf numFmtId="0" fontId="4" fillId="0" borderId="0" xfId="0" applyFont="1"/>
    <xf numFmtId="0" fontId="11" fillId="3" borderId="0" xfId="0" applyFont="1" applyFill="1" applyAlignment="1"/>
    <xf numFmtId="164" fontId="11" fillId="0" borderId="9" xfId="0" applyNumberFormat="1" applyFont="1" applyBorder="1"/>
    <xf numFmtId="164" fontId="11" fillId="0" borderId="10" xfId="0" applyNumberFormat="1" applyFont="1" applyBorder="1"/>
    <xf numFmtId="164" fontId="11" fillId="0" borderId="0" xfId="0" applyNumberFormat="1" applyFont="1" applyBorder="1"/>
    <xf numFmtId="164" fontId="11" fillId="0" borderId="2" xfId="0" applyNumberFormat="1" applyFont="1" applyBorder="1"/>
    <xf numFmtId="164" fontId="11" fillId="0" borderId="5" xfId="0" applyNumberFormat="1" applyFont="1" applyBorder="1"/>
    <xf numFmtId="164" fontId="11" fillId="0" borderId="6" xfId="0" applyNumberFormat="1" applyFont="1" applyBorder="1"/>
    <xf numFmtId="164" fontId="11" fillId="0" borderId="0" xfId="0" applyNumberFormat="1" applyFont="1" applyFill="1" applyBorder="1"/>
    <xf numFmtId="164" fontId="11" fillId="0" borderId="2" xfId="0" applyNumberFormat="1" applyFont="1" applyFill="1" applyBorder="1"/>
    <xf numFmtId="164" fontId="11" fillId="0" borderId="11" xfId="0" applyNumberFormat="1" applyFont="1" applyBorder="1"/>
    <xf numFmtId="164" fontId="11" fillId="0" borderId="3" xfId="0" applyNumberFormat="1" applyFont="1" applyBorder="1"/>
    <xf numFmtId="164" fontId="11" fillId="0" borderId="7" xfId="0" applyNumberFormat="1" applyFont="1" applyBorder="1"/>
    <xf numFmtId="164" fontId="11" fillId="0" borderId="3" xfId="0" applyNumberFormat="1" applyFont="1" applyFill="1" applyBorder="1"/>
    <xf numFmtId="164" fontId="11" fillId="0" borderId="8" xfId="0" applyNumberFormat="1" applyFont="1" applyBorder="1"/>
    <xf numFmtId="164" fontId="11" fillId="0" borderId="1" xfId="0" applyNumberFormat="1" applyFont="1" applyBorder="1"/>
    <xf numFmtId="164" fontId="11" fillId="0" borderId="4" xfId="0" applyNumberFormat="1" applyFont="1" applyBorder="1"/>
    <xf numFmtId="164" fontId="11" fillId="0" borderId="1" xfId="0" applyNumberFormat="1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5" fillId="0" borderId="0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55">
    <dxf>
      <alignment horizontal="left" readingOrder="0"/>
    </dxf>
    <dxf>
      <numFmt numFmtId="164" formatCode="_-\ #,##0_-;\-\ #,##0_-;_-\ &quot;-&quot;??_-;_-@_-"/>
    </dxf>
    <dxf>
      <font>
        <color theme="0"/>
      </font>
    </dxf>
    <dxf>
      <font>
        <color theme="0"/>
      </font>
    </dxf>
    <dxf>
      <alignment horizontal="left" readingOrder="0"/>
    </dxf>
    <dxf>
      <numFmt numFmtId="164" formatCode="_-\ #,##0_-;\-\ #,##0_-;_-\ &quot;-&quot;??_-;_-@_-"/>
    </dxf>
    <dxf>
      <numFmt numFmtId="164" formatCode="_-\ #,##0_-;\-\ #,##0_-;_-\ &quot;-&quot;??_-;_-@_-"/>
    </dxf>
    <dxf>
      <numFmt numFmtId="168" formatCode="[Red]_-\ #,##0_-;\-\ #,##0_-;_-\ &quot;-&quot;??_-;_-@_-"/>
    </dxf>
    <dxf>
      <numFmt numFmtId="167" formatCode="[Red]_-\ #,##0_-;\-\ #,##0_-;_-\ &quot;&quot;??_-;_-@_-"/>
    </dxf>
    <dxf>
      <alignment horizontal="left" readingOrder="0"/>
    </dxf>
    <dxf>
      <alignment horizontal="left" readingOrder="0"/>
    </dxf>
    <dxf>
      <fill>
        <patternFill>
          <bgColor auto="1"/>
        </patternFill>
      </fill>
    </dxf>
    <dxf>
      <border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bottom style="thin">
          <color theme="1" tint="0.499984740745262"/>
        </bottom>
      </border>
    </dxf>
    <dxf>
      <border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border>
        <bottom style="thin">
          <color theme="1" tint="0.499984740745262"/>
        </bottom>
      </border>
    </dxf>
    <dxf>
      <border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border>
        <right style="thin">
          <color theme="1" tint="0.499984740745262"/>
        </right>
      </border>
    </dxf>
    <dxf>
      <border>
        <right style="thin">
          <color theme="1" tint="0.499984740745262"/>
        </right>
      </border>
    </dxf>
    <dxf>
      <border>
        <right style="thin">
          <color theme="1" tint="0.499984740745262"/>
        </right>
      </border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6" formatCode="_-\ #,##0_-;[Red]\-\ #,##0_-;_-\ &quot;&quot;??_-;_-@_-"/>
    </dxf>
    <dxf>
      <border>
        <right style="thin">
          <color theme="1" tint="0.34998626667073579"/>
        </right>
      </border>
    </dxf>
    <dxf>
      <border>
        <right style="thin">
          <color theme="1" tint="0.34998626667073579"/>
        </right>
      </border>
    </dxf>
    <dxf>
      <border>
        <left style="thin">
          <color theme="1" tint="0.34998626667073579"/>
        </left>
      </border>
    </dxf>
    <dxf>
      <border>
        <left style="thin">
          <color theme="1" tint="0.34998626667073579"/>
        </left>
      </border>
    </dxf>
    <dxf>
      <fill>
        <patternFill patternType="solid">
          <bgColor theme="0"/>
        </patternFill>
      </fill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49998474074526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ill>
        <patternFill patternType="solid">
          <bgColor theme="3" tint="0.39997558519241921"/>
        </patternFill>
      </fill>
    </dxf>
    <dxf>
      <font>
        <color theme="0"/>
      </font>
    </dxf>
    <dxf>
      <fill>
        <patternFill patternType="solid">
          <bgColor theme="3" tint="0.39997558519241921"/>
        </patternFill>
      </fill>
    </dxf>
    <dxf>
      <font>
        <color theme="0"/>
      </font>
    </dxf>
    <dxf>
      <fill>
        <patternFill patternType="solid">
          <bgColor theme="3" tint="0.39997558519241921"/>
        </patternFill>
      </fill>
    </dxf>
    <dxf>
      <font>
        <color theme="0"/>
      </font>
    </dxf>
    <dxf>
      <fill>
        <patternFill patternType="solid">
          <bgColor theme="3" tint="0.39997558519241921"/>
        </patternFill>
      </fill>
    </dxf>
    <dxf>
      <fill>
        <patternFill>
          <bgColor theme="2" tint="-0.499984740745262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0"/>
      </font>
    </dxf>
    <dxf>
      <fill>
        <patternFill>
          <bgColor theme="3" tint="-0.249977111117893"/>
        </patternFill>
      </fill>
    </dxf>
    <dxf>
      <fill>
        <patternFill>
          <bgColor theme="3" tint="0.39997558519241921"/>
        </patternFill>
      </fill>
    </dxf>
    <dxf>
      <font>
        <color theme="0"/>
      </font>
    </dxf>
    <dxf>
      <fill>
        <patternFill patternType="solid">
          <bgColor theme="3" tint="0.39997558519241921"/>
        </patternFill>
      </fill>
    </dxf>
    <dxf>
      <fill>
        <patternFill>
          <bgColor theme="3" tint="-0.249977111117893"/>
        </patternFill>
      </fill>
    </dxf>
    <dxf>
      <font>
        <color theme="0"/>
      </font>
    </dxf>
    <dxf>
      <fill>
        <patternFill>
          <bgColor theme="8"/>
        </patternFill>
      </fill>
    </dxf>
    <dxf>
      <font>
        <color auto="1"/>
      </font>
    </dxf>
    <dxf>
      <fill>
        <patternFill>
          <bgColor theme="8" tint="0.39997558519241921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</dxf>
    <dxf>
      <fill>
        <patternFill>
          <bgColor theme="8"/>
        </patternFill>
      </fill>
    </dxf>
    <dxf>
      <alignment horizontal="left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numFmt numFmtId="165" formatCode="_-\ #,##0_-;\-\ #,##0_-;_-\ &quot;&quot;??_-;_-@_-"/>
    </dxf>
    <dxf>
      <numFmt numFmtId="165" formatCode="_-\ #,##0_-;\-\ #,##0_-;_-\ &quot;&quot;??_-;_-@_-"/>
    </dxf>
    <dxf>
      <numFmt numFmtId="165" formatCode="_-\ #,##0_-;\-\ #,##0_-;_-\ &quot;&quot;??_-;_-@_-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color theme="1" tint="0.499984740745262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1" tint="0.499984740745262"/>
      </font>
      <fill>
        <patternFill patternType="none">
          <fgColor indexed="64"/>
          <bgColor auto="1"/>
        </patternFill>
      </fill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none">
          <fgColor indexed="64"/>
          <bgColor auto="1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</dxfs>
  <tableStyles count="1" defaultTableStyle="TableStyleMedium2" defaultPivotStyle="PivotStyleLight16">
    <tableStyle name="PivotStyleLight16 2" table="0" count="11">
      <tableStyleElement type="headerRow" dxfId="154"/>
      <tableStyleElement type="totalRow" dxfId="153"/>
      <tableStyleElement type="firstRowStripe" dxfId="152"/>
      <tableStyleElement type="firstColumnStripe" dxfId="151"/>
      <tableStyleElement type="firstSubtotalColumn" dxfId="150"/>
      <tableStyleElement type="firstSubtotalRow" dxfId="149"/>
      <tableStyleElement type="secondSubtotalRow" dxfId="148"/>
      <tableStyleElement type="firstRowSubheading" dxfId="147"/>
      <tableStyleElement type="secondRowSubheading" dxfId="146"/>
      <tableStyleElement type="pageFieldLabels" dxfId="145"/>
      <tableStyleElement type="pageFieldValues" dxfId="1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Chart!$B$21</c:f>
              <c:strCache>
                <c:ptCount val="1"/>
                <c:pt idx="0">
                  <c:v>Requested Loss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Chart!$A$22:$A$28</c15:sqref>
                  </c15:fullRef>
                </c:ext>
              </c:extLst>
              <c:f>Chart!$A$22:$A$25</c:f>
              <c:strCache>
                <c:ptCount val="4"/>
                <c:pt idx="0">
                  <c:v>KN</c:v>
                </c:pt>
                <c:pt idx="1">
                  <c:v>TP</c:v>
                </c:pt>
                <c:pt idx="2">
                  <c:v>HY</c:v>
                </c:pt>
                <c:pt idx="3">
                  <c:v>TT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Chart!$B$22:$B$28</c15:sqref>
                  </c15:fullRef>
                </c:ext>
              </c:extLst>
              <c:f>Chart!$B$22:$B$25</c:f>
              <c:numCache>
                <c:formatCode>_-\ #,##0_-;\-\ #,##0_-;_-\ ""??_-;_-@_-</c:formatCode>
                <c:ptCount val="4"/>
                <c:pt idx="0">
                  <c:v>59496176.964758851</c:v>
                </c:pt>
                <c:pt idx="1">
                  <c:v>971874646.28091002</c:v>
                </c:pt>
                <c:pt idx="2">
                  <c:v>41051733.843244433</c:v>
                </c:pt>
                <c:pt idx="3">
                  <c:v>479076422.29410255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B-4A52-A9C8-67BCD3EFE0C5}"/>
            </c:ext>
          </c:extLst>
        </c:ser>
        <c:ser>
          <c:idx val="1"/>
          <c:order val="2"/>
          <c:tx>
            <c:strRef>
              <c:f>Chart!$C$21</c:f>
              <c:strCache>
                <c:ptCount val="1"/>
                <c:pt idx="0">
                  <c:v>Actual Loss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Chart!$A$22:$A$28</c15:sqref>
                  </c15:fullRef>
                </c:ext>
              </c:extLst>
              <c:f>Chart!$A$22:$A$25</c:f>
              <c:strCache>
                <c:ptCount val="4"/>
                <c:pt idx="0">
                  <c:v>KN</c:v>
                </c:pt>
                <c:pt idx="1">
                  <c:v>TP</c:v>
                </c:pt>
                <c:pt idx="2">
                  <c:v>HY</c:v>
                </c:pt>
                <c:pt idx="3">
                  <c:v>TT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Chart!$C$22:$C$28</c15:sqref>
                  </c15:fullRef>
                </c:ext>
              </c:extLst>
              <c:f>Chart!$C$22:$C$25</c:f>
              <c:numCache>
                <c:formatCode>_-\ #,##0_-;\-\ #,##0_-;_-\ ""??_-;_-@_-</c:formatCode>
                <c:ptCount val="4"/>
                <c:pt idx="0">
                  <c:v>44351568.724313587</c:v>
                </c:pt>
                <c:pt idx="1">
                  <c:v>932209304.52192402</c:v>
                </c:pt>
                <c:pt idx="2">
                  <c:v>40049882.991776012</c:v>
                </c:pt>
                <c:pt idx="3">
                  <c:v>258394662.64730632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B-4A52-A9C8-67BCD3EFE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279324416"/>
        <c:axId val="279332736"/>
      </c:barChart>
      <c:barChart>
        <c:barDir val="col"/>
        <c:grouping val="clustered"/>
        <c:varyColors val="0"/>
        <c:ser>
          <c:idx val="2"/>
          <c:order val="0"/>
          <c:tx>
            <c:strRef>
              <c:f>Chart!$D$21</c:f>
              <c:strCache>
                <c:ptCount val="1"/>
                <c:pt idx="0">
                  <c:v>Max Left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C8976818-A251-4876-BD78-33854982D6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AB-4A52-A9C8-67BCD3EFE0C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15D52E46-FA58-4A6D-A793-6E3978433A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AB-4A52-A9C8-67BCD3EFE0C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F28C7E5D-8575-41F6-A63D-EECB8C9FF6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AB-4A52-A9C8-67BCD3EFE0C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9C74EBB6-D9FA-46C9-A31E-E2CF2BC099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AB-4A52-A9C8-67BCD3EFE0C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Chart!$F$22:$F$28</c15:sqref>
                    </c15:fullRef>
                  </c:ext>
                </c:extLst>
                <c:f>Chart!$F$22:$F$25</c:f>
                <c:numCache>
                  <c:formatCode>General</c:formatCode>
                  <c:ptCount val="4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C00000"/>
                </a:solidFill>
                <a:round/>
                <a:headEnd type="triangle"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Chart!$A$22:$A$28</c15:sqref>
                  </c15:fullRef>
                </c:ext>
              </c:extLst>
              <c:f>Chart!$A$22:$A$25</c:f>
              <c:strCache>
                <c:ptCount val="4"/>
                <c:pt idx="0">
                  <c:v>KN</c:v>
                </c:pt>
                <c:pt idx="1">
                  <c:v>TP</c:v>
                </c:pt>
                <c:pt idx="2">
                  <c:v>HY</c:v>
                </c:pt>
                <c:pt idx="3">
                  <c:v>TT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Chart!$D$22:$D$28</c15:sqref>
                  </c15:fullRef>
                </c:ext>
              </c:extLst>
              <c:f>Chart!$D$22:$D$25</c:f>
              <c:numCache>
                <c:formatCode>_-\ #,##0_-;\-\ #,##0_-;_-\ ""??_-;_-@_-</c:formatCode>
                <c:ptCount val="4"/>
                <c:pt idx="0">
                  <c:v>59496176.964758851</c:v>
                </c:pt>
                <c:pt idx="1">
                  <c:v>971874646.28091002</c:v>
                </c:pt>
                <c:pt idx="2">
                  <c:v>41051733.843244433</c:v>
                </c:pt>
                <c:pt idx="3">
                  <c:v>479076422.29410255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Chart!$H$22:$H$28</c15:f>
                <c15:dlblRangeCache>
                  <c:ptCount val="7"/>
                  <c:pt idx="0">
                    <c:v>  </c:v>
                  </c:pt>
                  <c:pt idx="1">
                    <c:v>  </c:v>
                  </c:pt>
                  <c:pt idx="2">
                    <c:v>  </c:v>
                  </c:pt>
                  <c:pt idx="3">
                    <c:v> 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6AB-4A52-A9C8-67BCD3EFE0C5}"/>
            </c:ext>
          </c:extLst>
        </c:ser>
        <c:ser>
          <c:idx val="3"/>
          <c:order val="3"/>
          <c:tx>
            <c:strRef>
              <c:f>Chart!$E$21</c:f>
              <c:strCache>
                <c:ptCount val="1"/>
                <c:pt idx="0">
                  <c:v>Max Right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ECBFF1A8-25D1-4984-8B76-89810CC575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AB-4A52-A9C8-67BCD3EFE0C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35B0B957-010B-478D-AB25-5E6BCF6F64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AB-4A52-A9C8-67BCD3EFE0C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77E45BA-E48E-4316-9415-DC4E79708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AB-4A52-A9C8-67BCD3EFE0C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A51D270-9135-4B24-84BB-86685CBFB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AB-4A52-A9C8-67BCD3EFE0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Chart!$G$22:$G$28</c15:sqref>
                    </c15:fullRef>
                  </c:ext>
                </c:extLst>
                <c:f>Chart!$G$22:$G$25</c:f>
                <c:numCache>
                  <c:formatCode>General</c:formatCode>
                  <c:ptCount val="4"/>
                  <c:pt idx="0">
                    <c:v>15144608.240445264</c:v>
                  </c:pt>
                  <c:pt idx="1">
                    <c:v>39665341.758985996</c:v>
                  </c:pt>
                  <c:pt idx="2">
                    <c:v>1001850.8514684215</c:v>
                  </c:pt>
                  <c:pt idx="3">
                    <c:v>220681759.64679623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6"/>
                </a:solidFill>
                <a:round/>
                <a:headEnd type="none"/>
                <a:tailEnd type="triangle"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Chart!$A$22:$A$28</c15:sqref>
                  </c15:fullRef>
                </c:ext>
              </c:extLst>
              <c:f>Chart!$A$22:$A$25</c:f>
              <c:strCache>
                <c:ptCount val="4"/>
                <c:pt idx="0">
                  <c:v>KN</c:v>
                </c:pt>
                <c:pt idx="1">
                  <c:v>TP</c:v>
                </c:pt>
                <c:pt idx="2">
                  <c:v>HY</c:v>
                </c:pt>
                <c:pt idx="3">
                  <c:v>TT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Chart!$E$22:$E$28</c15:sqref>
                  </c15:fullRef>
                </c:ext>
              </c:extLst>
              <c:f>Chart!$E$22:$E$25</c:f>
              <c:numCache>
                <c:formatCode>_-\ #,##0_-;\-\ #,##0_-;_-\ ""??_-;_-@_-</c:formatCode>
                <c:ptCount val="4"/>
                <c:pt idx="0">
                  <c:v>59496176.964758851</c:v>
                </c:pt>
                <c:pt idx="1">
                  <c:v>971874646.28091002</c:v>
                </c:pt>
                <c:pt idx="2">
                  <c:v>41051733.843244433</c:v>
                </c:pt>
                <c:pt idx="3">
                  <c:v>479076422.29410255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Chart!$I$22:$I$28</c15:f>
                <c15:dlblRangeCache>
                  <c:ptCount val="7"/>
                  <c:pt idx="0">
                    <c:v> -25% </c:v>
                  </c:pt>
                  <c:pt idx="1">
                    <c:v> -4% </c:v>
                  </c:pt>
                  <c:pt idx="2">
                    <c:v> -2% </c:v>
                  </c:pt>
                  <c:pt idx="3">
                    <c:v> -46%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16AB-4A52-A9C8-67BCD3EFE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overlap val="-27"/>
        <c:axId val="1341355440"/>
        <c:axId val="1341353360"/>
      </c:barChart>
      <c:catAx>
        <c:axId val="2793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32736"/>
        <c:crosses val="autoZero"/>
        <c:auto val="1"/>
        <c:lblAlgn val="ctr"/>
        <c:lblOffset val="100"/>
        <c:noMultiLvlLbl val="0"/>
      </c:catAx>
      <c:valAx>
        <c:axId val="279332736"/>
        <c:scaling>
          <c:orientation val="minMax"/>
        </c:scaling>
        <c:delete val="0"/>
        <c:axPos val="l"/>
        <c:numFmt formatCode="#,##0,,\ &quot;M&quot;;\-\ #,##0,,\ &quot;M&quot;;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24416"/>
        <c:crosses val="autoZero"/>
        <c:crossBetween val="between"/>
      </c:valAx>
      <c:valAx>
        <c:axId val="1341353360"/>
        <c:scaling>
          <c:orientation val="minMax"/>
        </c:scaling>
        <c:delete val="1"/>
        <c:axPos val="r"/>
        <c:numFmt formatCode="_-\ #,##0_-;\-\ #,##0_-;_-\ &quot;&quot;??_-;_-@_-" sourceLinked="1"/>
        <c:majorTickMark val="out"/>
        <c:minorTickMark val="none"/>
        <c:tickLblPos val="nextTo"/>
        <c:crossAx val="1341355440"/>
        <c:crosses val="max"/>
        <c:crossBetween val="between"/>
      </c:valAx>
      <c:catAx>
        <c:axId val="134135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1353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82066849040017"/>
          <c:y val="6.5476190476190479E-2"/>
          <c:w val="0.79660743831712622"/>
          <c:h val="0.79643888263967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Chart!$B$48</c:f>
              <c:strCache>
                <c:ptCount val="1"/>
                <c:pt idx="0">
                  <c:v>Requested Loss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Chart!$A$49:$A$52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Chart!$B$49:$B$52</c:f>
              <c:numCache>
                <c:formatCode>_-\ #,##0_-;\-\ #,##0_-;_-\ ""??_-;_-@_-</c:formatCode>
                <c:ptCount val="4"/>
                <c:pt idx="0">
                  <c:v>285195344.95288658</c:v>
                </c:pt>
                <c:pt idx="1">
                  <c:v>41051733.843244433</c:v>
                </c:pt>
                <c:pt idx="2">
                  <c:v>479076422.29410255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5-4D73-A0AF-3FB4DD03F39D}"/>
            </c:ext>
          </c:extLst>
        </c:ser>
        <c:ser>
          <c:idx val="1"/>
          <c:order val="2"/>
          <c:tx>
            <c:strRef>
              <c:f>Chart!$C$48</c:f>
              <c:strCache>
                <c:ptCount val="1"/>
                <c:pt idx="0">
                  <c:v>Actual Loss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Chart!$A$49:$A$52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Chart!$C$49:$C$52</c:f>
              <c:numCache>
                <c:formatCode>_-\ #,##0_-;\-\ #,##0_-;_-\ ""??_-;_-@_-</c:formatCode>
                <c:ptCount val="4"/>
                <c:pt idx="0">
                  <c:v>271854657.31230479</c:v>
                </c:pt>
                <c:pt idx="1">
                  <c:v>40049882.991776012</c:v>
                </c:pt>
                <c:pt idx="2">
                  <c:v>258394662.64730632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5-4D73-A0AF-3FB4DD03F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279324416"/>
        <c:axId val="279332736"/>
      </c:barChart>
      <c:barChart>
        <c:barDir val="col"/>
        <c:grouping val="clustered"/>
        <c:varyColors val="0"/>
        <c:ser>
          <c:idx val="2"/>
          <c:order val="0"/>
          <c:tx>
            <c:strRef>
              <c:f>Chart!$D$48</c:f>
              <c:strCache>
                <c:ptCount val="1"/>
                <c:pt idx="0">
                  <c:v>Max Left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029558E0-A57E-4795-8574-FD7035EF9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D73-A0AF-3FB4DD03F39D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65212D6-16B7-436E-86FF-6FB306DB83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D73-A0AF-3FB4DD03F39D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D231D66-86C2-45A2-8C0C-51E7AC1CF9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D73-A0AF-3FB4DD03F3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15-4D73-A0AF-3FB4DD03F39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Chart!$H$49:$H$52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C00000"/>
                </a:solidFill>
                <a:round/>
                <a:headEnd type="triangle"/>
              </a:ln>
              <a:effectLst/>
            </c:spPr>
          </c:errBars>
          <c:cat>
            <c:strRef>
              <c:f>Chart!$A$49:$A$52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Chart!$D$49:$D$52</c:f>
              <c:numCache>
                <c:formatCode>_-\ #,##0_-;\-\ #,##0_-;_-\ ""??_-;_-@_-</c:formatCode>
                <c:ptCount val="4"/>
                <c:pt idx="0">
                  <c:v>285195344.95288658</c:v>
                </c:pt>
                <c:pt idx="1">
                  <c:v>41051733.843244433</c:v>
                </c:pt>
                <c:pt idx="2">
                  <c:v>479076422.29410255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Chart!$H$49:$H$52</c15:f>
                <c15:dlblRangeCache>
                  <c:ptCount val="4"/>
                  <c:pt idx="0">
                    <c:v>  </c:v>
                  </c:pt>
                  <c:pt idx="1">
                    <c:v>  </c:v>
                  </c:pt>
                  <c:pt idx="2">
                    <c:v> 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DC15-4D73-A0AF-3FB4DD03F39D}"/>
            </c:ext>
          </c:extLst>
        </c:ser>
        <c:ser>
          <c:idx val="3"/>
          <c:order val="3"/>
          <c:tx>
            <c:strRef>
              <c:f>Chart!$E$48</c:f>
              <c:strCache>
                <c:ptCount val="1"/>
                <c:pt idx="0">
                  <c:v>Max Right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E869EF9B-E0F1-46B4-963D-901B41F16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D73-A0AF-3FB4DD03F39D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8D0885A-18D4-47CA-A049-95C468E673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D73-A0AF-3FB4DD03F39D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74FABE7-99E5-4D20-9C2F-61DD3AD57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D73-A0AF-3FB4DD03F3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C15-4D73-A0AF-3FB4DD03F3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Chart!$G$49:$G$52</c:f>
                <c:numCache>
                  <c:formatCode>General</c:formatCode>
                  <c:ptCount val="4"/>
                  <c:pt idx="0">
                    <c:v>13340687.640581787</c:v>
                  </c:pt>
                  <c:pt idx="1">
                    <c:v>1001850.8514684215</c:v>
                  </c:pt>
                  <c:pt idx="2">
                    <c:v>220681759.64679623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6"/>
                </a:solidFill>
                <a:round/>
                <a:headEnd type="none"/>
                <a:tailEnd type="triangle"/>
              </a:ln>
              <a:effectLst/>
            </c:spPr>
          </c:errBars>
          <c:cat>
            <c:strRef>
              <c:f>Chart!$A$49:$A$52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Chart!$E$49:$E$52</c:f>
              <c:numCache>
                <c:formatCode>_-\ #,##0_-;\-\ #,##0_-;_-\ ""??_-;_-@_-</c:formatCode>
                <c:ptCount val="4"/>
                <c:pt idx="0">
                  <c:v>285195344.95288658</c:v>
                </c:pt>
                <c:pt idx="1">
                  <c:v>41051733.843244433</c:v>
                </c:pt>
                <c:pt idx="2">
                  <c:v>479076422.29410255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Chart!$I$49:$I$52</c15:f>
                <c15:dlblRangeCache>
                  <c:ptCount val="4"/>
                  <c:pt idx="0">
                    <c:v> -5% </c:v>
                  </c:pt>
                  <c:pt idx="1">
                    <c:v> -2% </c:v>
                  </c:pt>
                  <c:pt idx="2">
                    <c:v> -46%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DC15-4D73-A0AF-3FB4DD03F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overlap val="-27"/>
        <c:axId val="1341355440"/>
        <c:axId val="1341353360"/>
      </c:barChart>
      <c:catAx>
        <c:axId val="27932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32736"/>
        <c:crosses val="autoZero"/>
        <c:auto val="1"/>
        <c:lblAlgn val="ctr"/>
        <c:lblOffset val="100"/>
        <c:noMultiLvlLbl val="0"/>
      </c:catAx>
      <c:valAx>
        <c:axId val="279332736"/>
        <c:scaling>
          <c:orientation val="minMax"/>
        </c:scaling>
        <c:delete val="0"/>
        <c:axPos val="l"/>
        <c:numFmt formatCode="#,##0,,\ &quot;M&quot;;\-\ #,##0,,\ &quot;M&quot;;;@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24416"/>
        <c:crosses val="autoZero"/>
        <c:crossBetween val="between"/>
        <c:majorUnit val="100000000"/>
      </c:valAx>
      <c:valAx>
        <c:axId val="1341353360"/>
        <c:scaling>
          <c:orientation val="minMax"/>
        </c:scaling>
        <c:delete val="1"/>
        <c:axPos val="r"/>
        <c:numFmt formatCode="_-\ #,##0_-;\-\ #,##0_-;_-\ &quot;&quot;??_-;_-@_-" sourceLinked="1"/>
        <c:majorTickMark val="out"/>
        <c:minorTickMark val="none"/>
        <c:tickLblPos val="nextTo"/>
        <c:crossAx val="1341355440"/>
        <c:crosses val="max"/>
        <c:crossBetween val="between"/>
      </c:valAx>
      <c:catAx>
        <c:axId val="134135544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34135336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035177360301661"/>
          <c:y val="0.11733333333333333"/>
          <c:w val="0.29648226396983396"/>
          <c:h val="0.3600025196850393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Chart!$B$75</c:f>
              <c:strCache>
                <c:ptCount val="1"/>
                <c:pt idx="0">
                  <c:v>Requested Loss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Chart!$A$76:$A$79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f>Chart!$B$76:$B$79</c:f>
              <c:numCache>
                <c:formatCode>_-\ #,##0_-;\-\ #,##0_-;_-\ ""??_-;_-@_-</c:formatCode>
                <c:ptCount val="4"/>
                <c:pt idx="0">
                  <c:v>59496176.964758851</c:v>
                </c:pt>
                <c:pt idx="1">
                  <c:v>686679301.32802355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8-485B-8FF1-ACBDA28B91E0}"/>
            </c:ext>
          </c:extLst>
        </c:ser>
        <c:ser>
          <c:idx val="1"/>
          <c:order val="2"/>
          <c:tx>
            <c:strRef>
              <c:f>Chart!$C$75</c:f>
              <c:strCache>
                <c:ptCount val="1"/>
                <c:pt idx="0">
                  <c:v>Actual Loss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Chart!$A$76:$A$79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f>Chart!$C$76:$C$79</c:f>
              <c:numCache>
                <c:formatCode>_-\ #,##0_-;\-\ #,##0_-;_-\ ""??_-;_-@_-</c:formatCode>
                <c:ptCount val="4"/>
                <c:pt idx="0">
                  <c:v>44351568.724313587</c:v>
                </c:pt>
                <c:pt idx="1">
                  <c:v>660354647.20961928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8-485B-8FF1-ACBDA28B9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axId val="279324416"/>
        <c:axId val="279332736"/>
      </c:barChart>
      <c:barChart>
        <c:barDir val="col"/>
        <c:grouping val="clustered"/>
        <c:varyColors val="0"/>
        <c:ser>
          <c:idx val="2"/>
          <c:order val="0"/>
          <c:tx>
            <c:strRef>
              <c:f>Chart!$D$75</c:f>
              <c:strCache>
                <c:ptCount val="1"/>
                <c:pt idx="0">
                  <c:v>Max Left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56E18DD9-C8E1-4C62-A4C1-0562B92E25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468-485B-8FF1-ACBDA28B91E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AD17BED-03B6-4193-8870-FB716868D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468-485B-8FF1-ACBDA28B91E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68-485B-8FF1-ACBDA28B91E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68-485B-8FF1-ACBDA28B91E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Chart!$H$76:$H$79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C00000"/>
                </a:solidFill>
                <a:round/>
                <a:headEnd type="triangle"/>
              </a:ln>
              <a:effectLst/>
            </c:spPr>
          </c:errBars>
          <c:cat>
            <c:strRef>
              <c:f>Chart!$A$76:$A$79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f>Chart!$D$76:$D$79</c:f>
              <c:numCache>
                <c:formatCode>_-\ #,##0_-;\-\ #,##0_-;_-\ ""??_-;_-@_-</c:formatCode>
                <c:ptCount val="4"/>
                <c:pt idx="0">
                  <c:v>59496176.964758851</c:v>
                </c:pt>
                <c:pt idx="1">
                  <c:v>686679301.32802355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Chart!$H$76:$H$79</c15:f>
                <c15:dlblRangeCache>
                  <c:ptCount val="4"/>
                  <c:pt idx="0">
                    <c:v>  </c:v>
                  </c:pt>
                  <c:pt idx="1">
                    <c:v> 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3468-485B-8FF1-ACBDA28B91E0}"/>
            </c:ext>
          </c:extLst>
        </c:ser>
        <c:ser>
          <c:idx val="3"/>
          <c:order val="3"/>
          <c:tx>
            <c:strRef>
              <c:f>Chart!$E$75</c:f>
              <c:strCache>
                <c:ptCount val="1"/>
                <c:pt idx="0">
                  <c:v>Max Right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A887E9E1-A136-4606-AFA0-10D9AEC4B3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468-485B-8FF1-ACBDA28B91E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7E91718-287C-4224-AA92-DF7724A2C8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8-485B-8FF1-ACBDA28B91E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68-485B-8FF1-ACBDA28B91E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468-485B-8FF1-ACBDA28B9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Chart!$I$76:$I$79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6"/>
                </a:solidFill>
                <a:round/>
                <a:headEnd type="none"/>
                <a:tailEnd type="triangle"/>
              </a:ln>
              <a:effectLst/>
            </c:spPr>
          </c:errBars>
          <c:cat>
            <c:strRef>
              <c:f>Chart!$A$76:$A$79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f>Chart!$E$76:$E$79</c:f>
              <c:numCache>
                <c:formatCode>_-\ #,##0_-;\-\ #,##0_-;_-\ ""??_-;_-@_-</c:formatCode>
                <c:ptCount val="4"/>
                <c:pt idx="0">
                  <c:v>59496176.964758851</c:v>
                </c:pt>
                <c:pt idx="1">
                  <c:v>686679301.32802355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Chart!$I$76:$I$79</c15:f>
                <c15:dlblRangeCache>
                  <c:ptCount val="4"/>
                  <c:pt idx="0">
                    <c:v> -25% </c:v>
                  </c:pt>
                  <c:pt idx="1">
                    <c:v> -4%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3468-485B-8FF1-ACBDA28B9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overlap val="-27"/>
        <c:axId val="1341355440"/>
        <c:axId val="1341353360"/>
      </c:barChart>
      <c:catAx>
        <c:axId val="27932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32736"/>
        <c:crosses val="autoZero"/>
        <c:auto val="1"/>
        <c:lblAlgn val="ctr"/>
        <c:lblOffset val="100"/>
        <c:noMultiLvlLbl val="0"/>
      </c:catAx>
      <c:valAx>
        <c:axId val="279332736"/>
        <c:scaling>
          <c:orientation val="minMax"/>
        </c:scaling>
        <c:delete val="0"/>
        <c:axPos val="l"/>
        <c:numFmt formatCode="#,##0,,\ &quot;M&quot;;\-\ #,##0,,\ &quot;M&quot;;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24416"/>
        <c:crosses val="autoZero"/>
        <c:crossBetween val="between"/>
      </c:valAx>
      <c:valAx>
        <c:axId val="1341353360"/>
        <c:scaling>
          <c:orientation val="minMax"/>
        </c:scaling>
        <c:delete val="1"/>
        <c:axPos val="r"/>
        <c:numFmt formatCode="_-\ #,##0_-;\-\ #,##0_-;_-\ &quot;&quot;??_-;_-@_-" sourceLinked="1"/>
        <c:majorTickMark val="out"/>
        <c:minorTickMark val="none"/>
        <c:tickLblPos val="nextTo"/>
        <c:crossAx val="1341355440"/>
        <c:crosses val="max"/>
        <c:crossBetween val="between"/>
      </c:valAx>
      <c:catAx>
        <c:axId val="134135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1353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075030267681186"/>
          <c:y val="5.6338069822239344E-2"/>
          <c:w val="0.29249697323188134"/>
          <c:h val="0.2942222425952775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38055987148763E-2"/>
          <c:y val="0.1124031007751938"/>
          <c:w val="0.81164680126074018"/>
          <c:h val="0.70901788439235791"/>
        </c:manualLayout>
      </c:layout>
      <c:areaChart>
        <c:grouping val="percentStacked"/>
        <c:varyColors val="0"/>
        <c:ser>
          <c:idx val="0"/>
          <c:order val="0"/>
          <c:tx>
            <c:strRef>
              <c:f>Chart!$I$100</c:f>
              <c:strCache>
                <c:ptCount val="1"/>
                <c:pt idx="0">
                  <c:v>FG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25400">
              <a:solidFill>
                <a:schemeClr val="bg1"/>
              </a:solidFill>
            </a:ln>
            <a:effectLst/>
          </c:spPr>
          <c:dLbls>
            <c:delete val="1"/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Chart!$H$101:$H$108</c:f>
              <c:numCache>
                <c:formatCode>General</c:formatCode>
                <c:ptCount val="8"/>
                <c:pt idx="0">
                  <c:v>0</c:v>
                </c:pt>
                <c:pt idx="1">
                  <c:v>3.4785396255874872</c:v>
                </c:pt>
                <c:pt idx="2">
                  <c:v>3.4785396255874872</c:v>
                </c:pt>
                <c:pt idx="3">
                  <c:v>76.592684139334949</c:v>
                </c:pt>
                <c:pt idx="4">
                  <c:v>76.592684139334949</c:v>
                </c:pt>
                <c:pt idx="5">
                  <c:v>79.733838082569932</c:v>
                </c:pt>
                <c:pt idx="6">
                  <c:v>79.733838082569932</c:v>
                </c:pt>
                <c:pt idx="7">
                  <c:v>99.999999999999986</c:v>
                </c:pt>
              </c:numCache>
            </c:numRef>
          </c:cat>
          <c:val>
            <c:numRef>
              <c:f>Chart!$I$101:$I$108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0.29162405480572118</c:v>
                </c:pt>
                <c:pt idx="3">
                  <c:v>0.29162405480572118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9-4D0E-B719-63705C1FB820}"/>
            </c:ext>
          </c:extLst>
        </c:ser>
        <c:ser>
          <c:idx val="1"/>
          <c:order val="1"/>
          <c:tx>
            <c:strRef>
              <c:f>Chart!$J$100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solidFill>
                <a:schemeClr val="bg1"/>
              </a:solidFill>
            </a:ln>
            <a:effectLst/>
          </c:spPr>
          <c:dLbls>
            <c:delete val="1"/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Chart!$H$101:$H$108</c:f>
              <c:numCache>
                <c:formatCode>General</c:formatCode>
                <c:ptCount val="8"/>
                <c:pt idx="0">
                  <c:v>0</c:v>
                </c:pt>
                <c:pt idx="1">
                  <c:v>3.4785396255874872</c:v>
                </c:pt>
                <c:pt idx="2">
                  <c:v>3.4785396255874872</c:v>
                </c:pt>
                <c:pt idx="3">
                  <c:v>76.592684139334949</c:v>
                </c:pt>
                <c:pt idx="4">
                  <c:v>76.592684139334949</c:v>
                </c:pt>
                <c:pt idx="5">
                  <c:v>79.733838082569932</c:v>
                </c:pt>
                <c:pt idx="6">
                  <c:v>79.733838082569932</c:v>
                </c:pt>
                <c:pt idx="7">
                  <c:v>99.999999999999986</c:v>
                </c:pt>
              </c:numCache>
            </c:numRef>
          </c:cat>
          <c:val>
            <c:numRef>
              <c:f>Chart!$J$101:$J$108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0.70837594519427893</c:v>
                </c:pt>
                <c:pt idx="3">
                  <c:v>0.70837594519427893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39-4D0E-B719-63705C1FB8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4018960"/>
        <c:axId val="784006896"/>
      </c:areaChart>
      <c:scatterChart>
        <c:scatterStyle val="lineMarker"/>
        <c:varyColors val="0"/>
        <c:ser>
          <c:idx val="2"/>
          <c:order val="2"/>
          <c:tx>
            <c:strRef>
              <c:f>Chart!$L$100</c:f>
              <c:strCache>
                <c:ptCount val="1"/>
                <c:pt idx="0">
                  <c:v>Display label above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EFB418B3-8E6C-4B2C-A821-47DC802CB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B39-4D0E-B719-63705C1FB82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A525482-F700-4404-9C88-A9536CD53C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B39-4D0E-B719-63705C1FB820}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76BD30-4A67-4050-A707-E9DE469FB8D3}" type="CELLRANGE">
                      <a:rPr lang="en-US"/>
                      <a:pPr>
                        <a:defRPr sz="7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39-4D0E-B719-63705C1FB82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56AF0EC9-F4E7-46AA-A70A-8BF740EA1A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39-4D0E-B719-63705C1FB8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Chart!$L$108:$O$108</c:f>
              <c:numCache>
                <c:formatCode>0.00</c:formatCode>
                <c:ptCount val="4"/>
                <c:pt idx="0">
                  <c:v>1.7392698127937436</c:v>
                </c:pt>
                <c:pt idx="1">
                  <c:v>40.035611882461218</c:v>
                </c:pt>
                <c:pt idx="2">
                  <c:v>78.163261110952448</c:v>
                </c:pt>
                <c:pt idx="3">
                  <c:v>89.866919041284959</c:v>
                </c:pt>
              </c:numCache>
            </c:numRef>
          </c:xVal>
          <c:yVal>
            <c:numRef>
              <c:f>Chart!$L$103:$O$103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Chart!$L$102:$O$102</c15:f>
                <c15:dlblRangeCache>
                  <c:ptCount val="4"/>
                  <c:pt idx="0">
                    <c:v>KN
(3%)</c:v>
                  </c:pt>
                  <c:pt idx="1">
                    <c:v>TP
(73%)</c:v>
                  </c:pt>
                  <c:pt idx="2">
                    <c:v>HY
(3%)</c:v>
                  </c:pt>
                  <c:pt idx="3">
                    <c:v>TT
(20%)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0B39-4D0E-B719-63705C1FB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18960"/>
        <c:axId val="784006896"/>
      </c:scatterChart>
      <c:dateAx>
        <c:axId val="784018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4006896"/>
        <c:crosses val="autoZero"/>
        <c:auto val="0"/>
        <c:lblOffset val="100"/>
        <c:baseTimeUnit val="days"/>
        <c:majorUnit val="10"/>
        <c:majorTimeUnit val="days"/>
        <c:minorUnit val="10"/>
        <c:minorTimeUnit val="days"/>
      </c:dateAx>
      <c:valAx>
        <c:axId val="7840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18960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77426749369418"/>
          <c:y val="4.806990885642478E-2"/>
          <c:w val="0.52106925973698792"/>
          <c:h val="0.76249223748992156"/>
        </c:manualLayout>
      </c:layout>
      <c:barChart>
        <c:barDir val="bar"/>
        <c:grouping val="percentStacked"/>
        <c:varyColors val="0"/>
        <c:ser>
          <c:idx val="10"/>
          <c:order val="0"/>
          <c:tx>
            <c:strRef>
              <c:f>Chart!$Q$133</c:f>
              <c:strCache>
                <c:ptCount val="1"/>
                <c:pt idx="0">
                  <c:v>Display label above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7EC6C264-0661-4BB6-B104-A56CBFE5E6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FCD-4489-A387-A37A8B2F9BB8}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7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DE49A18-BB12-404D-B3FB-1F020591A119}" type="CELLRANGE">
                      <a:rPr lang="en-US"/>
                      <a:pPr>
                        <a:defRPr sz="70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FCD-4489-A387-A37A8B2F9BB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26805CFA-65C4-40B1-B875-8CC9A9CA5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FCD-4489-A387-A37A8B2F9B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Chart!$Q$136:$S$136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Chart!$Q$135:$S$135</c15:f>
                <c15:dlblRangeCache>
                  <c:ptCount val="3"/>
                  <c:pt idx="0">
                    <c:v>TP
(48%)</c:v>
                  </c:pt>
                  <c:pt idx="1">
                    <c:v>HY
(7%)</c:v>
                  </c:pt>
                  <c:pt idx="2">
                    <c:v>TT
(45%)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FCD-4489-A387-A37A8B2F9BB8}"/>
            </c:ext>
          </c:extLst>
        </c:ser>
        <c:ser>
          <c:idx val="0"/>
          <c:order val="1"/>
          <c:tx>
            <c:strRef>
              <c:f>Chart!$B$133</c:f>
              <c:strCache>
                <c:ptCount val="1"/>
                <c:pt idx="0">
                  <c:v>01. Powdered Beverages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Chart!$B$134:$B$136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8051423.0705293184</c:v>
                </c:pt>
                <c:pt idx="2">
                  <c:v>30579715.722036928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D-4489-A387-A37A8B2F9BB8}"/>
            </c:ext>
          </c:extLst>
        </c:ser>
        <c:ser>
          <c:idx val="1"/>
          <c:order val="2"/>
          <c:tx>
            <c:strRef>
              <c:f>Chart!$C$133</c:f>
              <c:strCache>
                <c:ptCount val="1"/>
                <c:pt idx="0">
                  <c:v>02. Nutrition Product</c:v>
                </c:pt>
              </c:strCache>
            </c:strRef>
          </c:tx>
          <c:spPr>
            <a:solidFill>
              <a:srgbClr val="F0904E"/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Chart!$C$134:$C$136</c:f>
              <c:numCache>
                <c:formatCode>_-\ #,##0_-;\-\ #,##0_-;_-\ ""??_-;_-@_-</c:formatCode>
                <c:ptCount val="3"/>
                <c:pt idx="0">
                  <c:v>245651579.76190478</c:v>
                </c:pt>
                <c:pt idx="1">
                  <c:v>2294130.592771085</c:v>
                </c:pt>
                <c:pt idx="2">
                  <c:v>42942855.481072731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D-4489-A387-A37A8B2F9BB8}"/>
            </c:ext>
          </c:extLst>
        </c:ser>
        <c:ser>
          <c:idx val="2"/>
          <c:order val="3"/>
          <c:tx>
            <c:strRef>
              <c:f>Chart!$D$133</c:f>
              <c:strCache>
                <c:ptCount val="1"/>
                <c:pt idx="0">
                  <c:v>03. Snack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Chart!$D$134:$D$136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1391717.7974444446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CD-4489-A387-A37A8B2F9BB8}"/>
            </c:ext>
          </c:extLst>
        </c:ser>
        <c:ser>
          <c:idx val="3"/>
          <c:order val="4"/>
          <c:tx>
            <c:strRef>
              <c:f>Chart!$E$133</c:f>
              <c:strCache>
                <c:ptCount val="1"/>
                <c:pt idx="0">
                  <c:v>04. Milk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Chart!$E$134:$E$136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1353166.4480181818</c:v>
                </c:pt>
                <c:pt idx="2">
                  <c:v>155838620.33829883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CD-4489-A387-A37A8B2F9BB8}"/>
            </c:ext>
          </c:extLst>
        </c:ser>
        <c:ser>
          <c:idx val="4"/>
          <c:order val="5"/>
          <c:tx>
            <c:strRef>
              <c:f>Chart!$F$133</c:f>
              <c:strCache>
                <c:ptCount val="1"/>
                <c:pt idx="0">
                  <c:v>06. Seasoning &amp; Sauce</c:v>
                </c:pt>
              </c:strCache>
            </c:strRef>
          </c:tx>
          <c:spPr>
            <a:solidFill>
              <a:srgbClr val="DBECD0"/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Chart!$F$134:$F$136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20600041.7126</c:v>
                </c:pt>
                <c:pt idx="2">
                  <c:v>7327739.4056743393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CD-4489-A387-A37A8B2F9BB8}"/>
            </c:ext>
          </c:extLst>
        </c:ser>
        <c:ser>
          <c:idx val="5"/>
          <c:order val="6"/>
          <c:tx>
            <c:strRef>
              <c:f>Chart!$G$133</c:f>
              <c:strCache>
                <c:ptCount val="1"/>
                <c:pt idx="0">
                  <c:v>07. Liquid beverages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Chart!$G$134:$G$136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2312556.8742053751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CD-4489-A387-A37A8B2F9BB8}"/>
            </c:ext>
          </c:extLst>
        </c:ser>
        <c:ser>
          <c:idx val="6"/>
          <c:order val="7"/>
          <c:tx>
            <c:strRef>
              <c:f>Chart!$H$133</c:f>
              <c:strCache>
                <c:ptCount val="1"/>
                <c:pt idx="0">
                  <c:v>08. Healthy Food</c:v>
                </c:pt>
              </c:strCache>
            </c:strRef>
          </c:tx>
          <c:spPr>
            <a:solidFill>
              <a:srgbClr val="B3C7E7"/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Chart!$H$134:$H$136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3023912.8957240963</c:v>
                </c:pt>
                <c:pt idx="2">
                  <c:v>17621522.787766669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CD-4489-A387-A37A8B2F9BB8}"/>
            </c:ext>
          </c:extLst>
        </c:ser>
        <c:ser>
          <c:idx val="7"/>
          <c:order val="8"/>
          <c:tx>
            <c:strRef>
              <c:f>Chart!$I$133</c:f>
              <c:strCache>
                <c:ptCount val="1"/>
                <c:pt idx="0">
                  <c:v>09. ETC</c:v>
                </c:pt>
              </c:strCache>
            </c:strRef>
          </c:tx>
          <c:spPr>
            <a:solidFill>
              <a:srgbClr val="D4DAE4"/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Chart!$I$134:$I$136</c:f>
              <c:numCache>
                <c:formatCode>_-\ #,##0_-;\-\ #,##0_-;_-\ ""??_-;_-@_-</c:formatCode>
                <c:ptCount val="3"/>
                <c:pt idx="0">
                  <c:v>26253316.5504</c:v>
                </c:pt>
                <c:pt idx="1">
                  <c:v>4727208.2721333327</c:v>
                </c:pt>
                <c:pt idx="2">
                  <c:v>379934.24080697674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CD-4489-A387-A37A8B2F9BB8}"/>
            </c:ext>
          </c:extLst>
        </c:ser>
        <c:ser>
          <c:idx val="8"/>
          <c:order val="9"/>
          <c:tx>
            <c:strRef>
              <c:f>Chart!$J$133</c:f>
              <c:strCache>
                <c:ptCount val="1"/>
                <c:pt idx="0">
                  <c:v>Semi FGs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Chart!$J$134:$J$136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CD-4489-A387-A37A8B2F9BB8}"/>
            </c:ext>
          </c:extLst>
        </c:ser>
        <c:ser>
          <c:idx val="9"/>
          <c:order val="10"/>
          <c:tx>
            <c:strRef>
              <c:f>Chart!$K$133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Chart!$A$134:$A$136</c:f>
              <c:strCache>
                <c:ptCount val="3"/>
                <c:pt idx="0">
                  <c:v>TP</c:v>
                </c:pt>
                <c:pt idx="1">
                  <c:v>HY</c:v>
                </c:pt>
                <c:pt idx="2">
                  <c:v>TT</c:v>
                </c:pt>
              </c:strCache>
            </c:strRef>
          </c:cat>
          <c:val>
            <c:numRef>
              <c:f>Chart!$K$134:$K$136</c:f>
              <c:numCache>
                <c:formatCode>_-\ #,##0_-;\-\ #,##0_-;_-\ ""??_-;_-@_-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CD-4489-A387-A37A8B2F9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68082639"/>
        <c:axId val="1868077231"/>
      </c:barChart>
      <c:catAx>
        <c:axId val="1868082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8077231"/>
        <c:crosses val="autoZero"/>
        <c:auto val="1"/>
        <c:lblAlgn val="ctr"/>
        <c:lblOffset val="100"/>
        <c:noMultiLvlLbl val="0"/>
      </c:catAx>
      <c:valAx>
        <c:axId val="186807723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9555072288847586"/>
          <c:y val="2.7398830048204759E-2"/>
          <c:w val="0.30444927711152414"/>
          <c:h val="0.9726011699517952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77426749369418"/>
          <c:y val="4.806990885642478E-2"/>
          <c:w val="0.57170652807781319"/>
          <c:h val="0.73035651793525813"/>
        </c:manualLayout>
      </c:layout>
      <c:barChart>
        <c:barDir val="bar"/>
        <c:grouping val="percentStacked"/>
        <c:varyColors val="0"/>
        <c:ser>
          <c:idx val="10"/>
          <c:order val="0"/>
          <c:tx>
            <c:strRef>
              <c:f>Chart!$Q$133</c:f>
              <c:strCache>
                <c:ptCount val="1"/>
                <c:pt idx="0">
                  <c:v>Display label above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46A5AF81-7D26-43FA-84F0-07D2320C3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007-48E4-81FC-82BCD584D926}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3AD5C4-E2F0-4D2B-A86B-4C7ED35692E5}" type="CELLRANGE">
                      <a:rPr lang="en-US"/>
                      <a:pPr>
                        <a:defRPr sz="80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007-48E4-81FC-82BCD584D9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Chart!$A$170:$A$171</c15:sqref>
                  </c15:fullRef>
                </c:ext>
              </c:extLst>
              <c:f>Chart!$A$170:$A$171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Chart!$Q$136:$S$136</c15:sqref>
                  </c15:fullRef>
                </c:ext>
              </c:extLst>
              <c:f>Chart!$Q$136:$R$136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Chart!$H$170:$H$171</c15:f>
                <c15:dlblRangeCache>
                  <c:ptCount val="2"/>
                  <c:pt idx="0">
                    <c:v>KN
(6%)</c:v>
                  </c:pt>
                  <c:pt idx="1">
                    <c:v>TP
(94%)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007-48E4-81FC-82BCD584D926}"/>
            </c:ext>
          </c:extLst>
        </c:ser>
        <c:ser>
          <c:idx val="0"/>
          <c:order val="1"/>
          <c:tx>
            <c:strRef>
              <c:f>Chart!$B$169</c:f>
              <c:strCache>
                <c:ptCount val="1"/>
                <c:pt idx="0">
                  <c:v>Raw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Chart!$A$170:$A$171</c15:sqref>
                  </c15:fullRef>
                </c:ext>
              </c:extLst>
              <c:f>Chart!$A$170:$A$171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Chart!$B$170:$B$171</c15:sqref>
                  </c15:fullRef>
                </c:ext>
              </c:extLst>
              <c:f>Chart!$B$170:$B$171</c:f>
              <c:numCache>
                <c:formatCode>_-\ #,##0_-;\-\ #,##0_-;_-\ ""??_-;_-@_-</c:formatCode>
                <c:ptCount val="2"/>
                <c:pt idx="0">
                  <c:v>44351568.724313587</c:v>
                </c:pt>
                <c:pt idx="1">
                  <c:v>491873149.51446724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7-48E4-81FC-82BCD584D926}"/>
            </c:ext>
          </c:extLst>
        </c:ser>
        <c:ser>
          <c:idx val="1"/>
          <c:order val="2"/>
          <c:tx>
            <c:strRef>
              <c:f>Chart!$C$169</c:f>
              <c:strCache>
                <c:ptCount val="1"/>
                <c:pt idx="0">
                  <c:v>Inner Packaging</c:v>
                </c:pt>
              </c:strCache>
            </c:strRef>
          </c:tx>
          <c:spPr>
            <a:solidFill>
              <a:srgbClr val="F09B6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Chart!$A$170:$A$171</c15:sqref>
                  </c15:fullRef>
                </c:ext>
              </c:extLst>
              <c:f>Chart!$A$170:$A$171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Chart!$C$170:$C$171</c15:sqref>
                  </c15:fullRef>
                </c:ext>
              </c:extLst>
              <c:f>Chart!$C$170:$C$171</c:f>
              <c:numCache>
                <c:formatCode>_-\ #,##0_-;\-\ #,##0_-;_-\ ""??_-;_-@_-</c:formatCode>
                <c:ptCount val="2"/>
                <c:pt idx="0">
                  <c:v>0</c:v>
                </c:pt>
                <c:pt idx="1">
                  <c:v>168481497.6951521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07-48E4-81FC-82BCD584D926}"/>
            </c:ext>
          </c:extLst>
        </c:ser>
        <c:ser>
          <c:idx val="2"/>
          <c:order val="3"/>
          <c:tx>
            <c:strRef>
              <c:f>Chart!$D$169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Chart!$A$170:$A$171</c15:sqref>
                  </c15:fullRef>
                </c:ext>
              </c:extLst>
              <c:f>Chart!$A$170:$A$171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Chart!$D$170:$D$171</c15:sqref>
                  </c15:fullRef>
                </c:ext>
              </c:extLst>
              <c:f>Chart!$D$170:$D$171</c:f>
              <c:numCache>
                <c:formatCode>_-\ #,##0_-;\-\ #,##0_-;_-\ ""??_-;_-@_-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07-48E4-81FC-82BCD584D926}"/>
            </c:ext>
          </c:extLst>
        </c:ser>
        <c:ser>
          <c:idx val="3"/>
          <c:order val="4"/>
          <c:tx>
            <c:strRef>
              <c:f>Chart!$E$169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Chart!$A$170:$A$171</c15:sqref>
                  </c15:fullRef>
                </c:ext>
              </c:extLst>
              <c:f>Chart!$A$170:$A$171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Chart!$E$170:$E$171</c15:sqref>
                  </c15:fullRef>
                </c:ext>
              </c:extLst>
              <c:f>Chart!$E$170:$E$171</c:f>
              <c:numCache>
                <c:formatCode>_-\ #,##0_-;\-\ #,##0_-;_-\ ""??_-;_-@_-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07-48E4-81FC-82BCD584D926}"/>
            </c:ext>
          </c:extLst>
        </c:ser>
        <c:ser>
          <c:idx val="4"/>
          <c:order val="5"/>
          <c:tx>
            <c:strRef>
              <c:f>Chart!$F$169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Chart!$A$170:$A$171</c15:sqref>
                  </c15:fullRef>
                </c:ext>
              </c:extLst>
              <c:f>Chart!$A$170:$A$171</c:f>
              <c:strCache>
                <c:ptCount val="2"/>
                <c:pt idx="0">
                  <c:v>KN</c:v>
                </c:pt>
                <c:pt idx="1">
                  <c:v>TP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Chart!$F$170:$F$171</c15:sqref>
                  </c15:fullRef>
                </c:ext>
              </c:extLst>
              <c:f>Chart!$F$170:$F$171</c:f>
              <c:numCache>
                <c:formatCode>_-\ #,##0_-;\-\ #,##0_-;_-\ ""??_-;_-@_-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07-48E4-81FC-82BCD584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68082639"/>
        <c:axId val="1868077231"/>
      </c:barChart>
      <c:catAx>
        <c:axId val="1868082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8077231"/>
        <c:crosses val="autoZero"/>
        <c:auto val="1"/>
        <c:lblAlgn val="ctr"/>
        <c:lblOffset val="100"/>
        <c:noMultiLvlLbl val="0"/>
      </c:catAx>
      <c:valAx>
        <c:axId val="186807723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75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75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7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4728431804545736"/>
          <c:y val="0.11851842634904143"/>
          <c:w val="0.2352484666857125"/>
          <c:h val="0.625931271755596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38055987148763E-2"/>
          <c:y val="0.1124031007751938"/>
          <c:w val="0.68967431600232854"/>
          <c:h val="0.70901788439235791"/>
        </c:manualLayout>
      </c:layout>
      <c:areaChart>
        <c:grouping val="percentStacked"/>
        <c:varyColors val="0"/>
        <c:ser>
          <c:idx val="0"/>
          <c:order val="0"/>
          <c:tx>
            <c:strRef>
              <c:f>Chart!$B$140</c:f>
              <c:strCache>
                <c:ptCount val="1"/>
                <c:pt idx="0">
                  <c:v>01. Powdered Beverages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Chart!$A$141:$A$146</c:f>
              <c:numCache>
                <c:formatCode>General</c:formatCode>
                <c:ptCount val="6"/>
                <c:pt idx="0">
                  <c:v>0</c:v>
                </c:pt>
                <c:pt idx="1">
                  <c:v>47.673386929600994</c:v>
                </c:pt>
                <c:pt idx="2">
                  <c:v>47.673386929600994</c:v>
                </c:pt>
                <c:pt idx="3">
                  <c:v>54.695377317590115</c:v>
                </c:pt>
                <c:pt idx="4">
                  <c:v>54.695377317590115</c:v>
                </c:pt>
                <c:pt idx="5">
                  <c:v>99.999999999999986</c:v>
                </c:pt>
              </c:numCache>
            </c:numRef>
          </c:cat>
          <c:val>
            <c:numRef>
              <c:f>Chart!$B$141:$B$146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0.20103487124251088</c:v>
                </c:pt>
                <c:pt idx="3">
                  <c:v>0.20103487124251088</c:v>
                </c:pt>
                <c:pt idx="4">
                  <c:v>0.11834499756589967</c:v>
                </c:pt>
                <c:pt idx="5">
                  <c:v>0.11834499756589967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1-4BCD-9E92-D4F67EB9EC39}"/>
            </c:ext>
          </c:extLst>
        </c:ser>
        <c:ser>
          <c:idx val="1"/>
          <c:order val="1"/>
          <c:tx>
            <c:strRef>
              <c:f>Chart!$C$140</c:f>
              <c:strCache>
                <c:ptCount val="1"/>
                <c:pt idx="0">
                  <c:v>02. Nutrition Product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Chart!$A$141:$A$146</c:f>
              <c:numCache>
                <c:formatCode>General</c:formatCode>
                <c:ptCount val="6"/>
                <c:pt idx="0">
                  <c:v>0</c:v>
                </c:pt>
                <c:pt idx="1">
                  <c:v>47.673386929600994</c:v>
                </c:pt>
                <c:pt idx="2">
                  <c:v>47.673386929600994</c:v>
                </c:pt>
                <c:pt idx="3">
                  <c:v>54.695377317590115</c:v>
                </c:pt>
                <c:pt idx="4">
                  <c:v>54.695377317590115</c:v>
                </c:pt>
                <c:pt idx="5">
                  <c:v>99.999999999999986</c:v>
                </c:pt>
              </c:numCache>
            </c:numRef>
          </c:cat>
          <c:val>
            <c:numRef>
              <c:f>Chart!$C$141:$C$146</c:f>
              <c:numCache>
                <c:formatCode>0%</c:formatCode>
                <c:ptCount val="6"/>
                <c:pt idx="0">
                  <c:v>0.90344669439035785</c:v>
                </c:pt>
                <c:pt idx="1">
                  <c:v>0.90344669439035785</c:v>
                </c:pt>
                <c:pt idx="2">
                  <c:v>5.7281830092791274E-2</c:v>
                </c:pt>
                <c:pt idx="3">
                  <c:v>5.7281830092791274E-2</c:v>
                </c:pt>
                <c:pt idx="4">
                  <c:v>0.16619095395049718</c:v>
                </c:pt>
                <c:pt idx="5">
                  <c:v>0.16619095395049718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1-4BCD-9E92-D4F67EB9EC39}"/>
            </c:ext>
          </c:extLst>
        </c:ser>
        <c:ser>
          <c:idx val="3"/>
          <c:order val="2"/>
          <c:tx>
            <c:strRef>
              <c:f>Chart!$D$140</c:f>
              <c:strCache>
                <c:ptCount val="1"/>
                <c:pt idx="0">
                  <c:v>03. Snack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bg1"/>
              </a:solidFill>
            </a:ln>
            <a:effectLst/>
          </c:spPr>
          <c:val>
            <c:numRef>
              <c:f>Chart!$D$141:$D$146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5.3860160391318093E-3</c:v>
                </c:pt>
                <c:pt idx="5">
                  <c:v>5.3860160391318093E-3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1-4BCD-9E92-D4F67EB9EC39}"/>
            </c:ext>
          </c:extLst>
        </c:ser>
        <c:ser>
          <c:idx val="4"/>
          <c:order val="3"/>
          <c:tx>
            <c:strRef>
              <c:f>Chart!$E$140</c:f>
              <c:strCache>
                <c:ptCount val="1"/>
                <c:pt idx="0">
                  <c:v>04. Milk products</c:v>
                </c:pt>
              </c:strCache>
            </c:strRef>
          </c:tx>
          <c:spPr>
            <a:solidFill>
              <a:srgbClr val="FFD85D"/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flat" cmpd="sng" algn="ctr">
                <a:solidFill>
                  <a:schemeClr val="bg1"/>
                </a:solidFill>
                <a:round/>
              </a:ln>
              <a:effectLst/>
            </c:spPr>
          </c:errBars>
          <c:val>
            <c:numRef>
              <c:f>Chart!$E$141:$E$146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3.3787026251638382E-2</c:v>
                </c:pt>
                <c:pt idx="3">
                  <c:v>3.3787026251638382E-2</c:v>
                </c:pt>
                <c:pt idx="4">
                  <c:v>0.60310309331353906</c:v>
                </c:pt>
                <c:pt idx="5">
                  <c:v>0.60310309331353906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1-4BCD-9E92-D4F67EB9EC39}"/>
            </c:ext>
          </c:extLst>
        </c:ser>
        <c:ser>
          <c:idx val="5"/>
          <c:order val="4"/>
          <c:tx>
            <c:strRef>
              <c:f>Chart!$F$140</c:f>
              <c:strCache>
                <c:ptCount val="1"/>
                <c:pt idx="0">
                  <c:v>06. Seasoning &amp; Sauce</c:v>
                </c:pt>
              </c:strCache>
            </c:strRef>
          </c:tx>
          <c:spPr>
            <a:solidFill>
              <a:srgbClr val="F9D1B5"/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flat" cmpd="sng" algn="ctr">
                <a:solidFill>
                  <a:schemeClr val="bg1"/>
                </a:solidFill>
                <a:round/>
              </a:ln>
              <a:effectLst/>
            </c:spPr>
          </c:errBars>
          <c:val>
            <c:numRef>
              <c:f>Chart!$F$141:$F$146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0.51435959792516961</c:v>
                </c:pt>
                <c:pt idx="3">
                  <c:v>0.51435959792516961</c:v>
                </c:pt>
                <c:pt idx="4">
                  <c:v>2.8358710395176692E-2</c:v>
                </c:pt>
                <c:pt idx="5">
                  <c:v>2.8358710395176692E-2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1-4BCD-9E92-D4F67EB9EC39}"/>
            </c:ext>
          </c:extLst>
        </c:ser>
        <c:ser>
          <c:idx val="6"/>
          <c:order val="5"/>
          <c:tx>
            <c:strRef>
              <c:f>Chart!$G$140</c:f>
              <c:strCache>
                <c:ptCount val="1"/>
                <c:pt idx="0">
                  <c:v>07. Liquid beverages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bg1"/>
              </a:solidFill>
            </a:ln>
            <a:effectLst/>
          </c:spPr>
          <c:val>
            <c:numRef>
              <c:f>Chart!$G$141:$G$146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8.9497083667005959E-3</c:v>
                </c:pt>
                <c:pt idx="5">
                  <c:v>8.9497083667005959E-3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01-4BCD-9E92-D4F67EB9EC39}"/>
            </c:ext>
          </c:extLst>
        </c:ser>
        <c:ser>
          <c:idx val="7"/>
          <c:order val="6"/>
          <c:tx>
            <c:strRef>
              <c:f>Chart!$H$140</c:f>
              <c:strCache>
                <c:ptCount val="1"/>
                <c:pt idx="0">
                  <c:v>08. Healthy Food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flat" cmpd="sng" algn="ctr">
                <a:solidFill>
                  <a:schemeClr val="bg1"/>
                </a:solidFill>
                <a:round/>
              </a:ln>
              <a:effectLst/>
            </c:spPr>
          </c:errBars>
          <c:val>
            <c:numRef>
              <c:f>Chart!$H$141:$H$146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7.5503663677245619E-2</c:v>
                </c:pt>
                <c:pt idx="3">
                  <c:v>7.5503663677245619E-2</c:v>
                </c:pt>
                <c:pt idx="4">
                  <c:v>6.8196156248858067E-2</c:v>
                </c:pt>
                <c:pt idx="5">
                  <c:v>6.8196156248858067E-2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01-4BCD-9E92-D4F67EB9EC39}"/>
            </c:ext>
          </c:extLst>
        </c:ser>
        <c:ser>
          <c:idx val="8"/>
          <c:order val="7"/>
          <c:tx>
            <c:strRef>
              <c:f>Chart!$I$140</c:f>
              <c:strCache>
                <c:ptCount val="1"/>
                <c:pt idx="0">
                  <c:v>09. ETC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flat" cmpd="sng" algn="ctr">
                <a:solidFill>
                  <a:schemeClr val="bg1"/>
                </a:solidFill>
                <a:round/>
              </a:ln>
              <a:effectLst/>
            </c:spPr>
          </c:errBars>
          <c:val>
            <c:numRef>
              <c:f>Chart!$I$141:$I$146</c:f>
              <c:numCache>
                <c:formatCode>0%</c:formatCode>
                <c:ptCount val="6"/>
                <c:pt idx="0">
                  <c:v>9.6553305609642051E-2</c:v>
                </c:pt>
                <c:pt idx="1">
                  <c:v>9.6553305609642051E-2</c:v>
                </c:pt>
                <c:pt idx="2">
                  <c:v>0.11803301081064416</c:v>
                </c:pt>
                <c:pt idx="3">
                  <c:v>0.11803301081064416</c:v>
                </c:pt>
                <c:pt idx="4">
                  <c:v>1.4703641201968824E-3</c:v>
                </c:pt>
                <c:pt idx="5">
                  <c:v>1.4703641201968824E-3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01-4BCD-9E92-D4F67EB9EC39}"/>
            </c:ext>
          </c:extLst>
        </c:ser>
        <c:ser>
          <c:idx val="9"/>
          <c:order val="8"/>
          <c:tx>
            <c:strRef>
              <c:f>Chart!$J$140</c:f>
              <c:strCache>
                <c:ptCount val="1"/>
                <c:pt idx="0">
                  <c:v>Semi FGs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9050">
              <a:solidFill>
                <a:schemeClr val="bg1"/>
              </a:solidFill>
            </a:ln>
            <a:effectLst/>
          </c:spPr>
          <c:val>
            <c:numRef>
              <c:f>Chart!$J$141:$J$146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01-4BCD-9E92-D4F67EB9E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18960"/>
        <c:axId val="784006896"/>
      </c:areaChart>
      <c:scatterChart>
        <c:scatterStyle val="lineMarker"/>
        <c:varyColors val="0"/>
        <c:ser>
          <c:idx val="2"/>
          <c:order val="9"/>
          <c:tx>
            <c:strRef>
              <c:f>Chart!$Q$133</c:f>
              <c:strCache>
                <c:ptCount val="1"/>
                <c:pt idx="0">
                  <c:v>Display label above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DBDA064-1F9F-4648-9EF3-E3BEEFA12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01-4BCD-9E92-D4F67EB9EC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813625-DEA8-49B8-9879-BACBDC086B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C01-4BCD-9E92-D4F67EB9EC3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2BB684D-A66F-4BE0-8401-EF1993E666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C01-4BCD-9E92-D4F67EB9EC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Chart!$Q$141:$S$141</c:f>
              <c:numCache>
                <c:formatCode>0.00</c:formatCode>
                <c:ptCount val="3"/>
                <c:pt idx="0">
                  <c:v>23.836693464800497</c:v>
                </c:pt>
                <c:pt idx="1">
                  <c:v>51.184382123595555</c:v>
                </c:pt>
                <c:pt idx="2">
                  <c:v>77.34768865879505</c:v>
                </c:pt>
              </c:numCache>
            </c:numRef>
          </c:xVal>
          <c:yVal>
            <c:numRef>
              <c:f>Chart!$Q$136:$S$136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Chart!$Q$135:$S$135</c15:f>
                <c15:dlblRangeCache>
                  <c:ptCount val="3"/>
                  <c:pt idx="0">
                    <c:v>TP
(48%)</c:v>
                  </c:pt>
                  <c:pt idx="1">
                    <c:v>HY
(7%)</c:v>
                  </c:pt>
                  <c:pt idx="2">
                    <c:v>TT
(45%)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1C01-4BCD-9E92-D4F67EB9E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18960"/>
        <c:axId val="784006896"/>
      </c:scatterChart>
      <c:dateAx>
        <c:axId val="784018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4006896"/>
        <c:crosses val="autoZero"/>
        <c:auto val="0"/>
        <c:lblOffset val="100"/>
        <c:baseTimeUnit val="days"/>
        <c:majorUnit val="10"/>
        <c:majorTimeUnit val="days"/>
        <c:minorUnit val="10"/>
        <c:minorTimeUnit val="days"/>
      </c:dateAx>
      <c:valAx>
        <c:axId val="7840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18960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tr"/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4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9"/>
        <c:delete val="1"/>
      </c:legendEntry>
      <c:layout>
        <c:manualLayout>
          <c:xMode val="edge"/>
          <c:yMode val="edge"/>
          <c:x val="0.76560097467856669"/>
          <c:y val="2.3255813953488372E-2"/>
          <c:w val="0.21601728979681736"/>
          <c:h val="0.588666910822193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38055987148763E-2"/>
          <c:y val="0.1124031007751938"/>
          <c:w val="0.68967431600232854"/>
          <c:h val="0.70901788439235791"/>
        </c:manualLayout>
      </c:layout>
      <c:areaChart>
        <c:grouping val="percentStacked"/>
        <c:varyColors val="0"/>
        <c:ser>
          <c:idx val="0"/>
          <c:order val="0"/>
          <c:tx>
            <c:strRef>
              <c:f>Chart!$B$169</c:f>
              <c:strCache>
                <c:ptCount val="1"/>
                <c:pt idx="0">
                  <c:v>Raw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Chart!$A$177:$A$180</c:f>
              <c:numCache>
                <c:formatCode>General</c:formatCode>
                <c:ptCount val="4"/>
                <c:pt idx="0">
                  <c:v>0</c:v>
                </c:pt>
                <c:pt idx="1">
                  <c:v>6.2936253039197823</c:v>
                </c:pt>
                <c:pt idx="2">
                  <c:v>6.2936253039197823</c:v>
                </c:pt>
                <c:pt idx="3">
                  <c:v>99.999999999999986</c:v>
                </c:pt>
              </c:numCache>
            </c:numRef>
          </c:cat>
          <c:val>
            <c:numRef>
              <c:f>Chart!$B$177:$B$180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0.74486210037729894</c:v>
                </c:pt>
                <c:pt idx="3">
                  <c:v>0.74486210037729894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E-45CF-8AFB-6E9B023A669A}"/>
            </c:ext>
          </c:extLst>
        </c:ser>
        <c:ser>
          <c:idx val="1"/>
          <c:order val="1"/>
          <c:tx>
            <c:strRef>
              <c:f>Chart!$C$169</c:f>
              <c:strCache>
                <c:ptCount val="1"/>
                <c:pt idx="0">
                  <c:v>Inner Packaging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9050">
              <a:solidFill>
                <a:schemeClr val="bg1"/>
              </a:solidFill>
            </a:ln>
            <a:effectLst/>
          </c:spPr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bg1"/>
                </a:solidFill>
                <a:round/>
              </a:ln>
              <a:effectLst/>
            </c:spPr>
          </c:errBars>
          <c:cat>
            <c:numRef>
              <c:f>Chart!$A$177:$A$180</c:f>
              <c:numCache>
                <c:formatCode>General</c:formatCode>
                <c:ptCount val="4"/>
                <c:pt idx="0">
                  <c:v>0</c:v>
                </c:pt>
                <c:pt idx="1">
                  <c:v>6.2936253039197823</c:v>
                </c:pt>
                <c:pt idx="2">
                  <c:v>6.2936253039197823</c:v>
                </c:pt>
                <c:pt idx="3">
                  <c:v>99.999999999999986</c:v>
                </c:pt>
              </c:numCache>
            </c:numRef>
          </c:cat>
          <c:val>
            <c:numRef>
              <c:f>Chart!$C$177:$C$180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0.25513789962270117</c:v>
                </c:pt>
                <c:pt idx="3">
                  <c:v>0.25513789962270117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E-45CF-8AFB-6E9B023A6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18960"/>
        <c:axId val="784006896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Chart!$D$169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 w="19050">
                    <a:solidFill>
                      <a:schemeClr val="bg1"/>
                    </a:solidFill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Chart!$A$177:$A$180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6.2936253039197823</c:v>
                      </c:pt>
                      <c:pt idx="2">
                        <c:v>6.2936253039197823</c:v>
                      </c:pt>
                      <c:pt idx="3">
                        <c:v>99.999999999999986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Chart!$D$177:$D$180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ADE-45CF-8AFB-6E9B023A669A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Chart!$E$169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solidFill>
                    <a:srgbClr val="FFD85D"/>
                  </a:solidFill>
                  <a:ln w="19050">
                    <a:solidFill>
                      <a:schemeClr val="bg1"/>
                    </a:solidFill>
                  </a:ln>
                  <a:effectLst/>
                </c:spPr>
                <c:errBars>
                  <c:errDir val="y"/>
                  <c:errBarType val="minus"/>
                  <c:errValType val="percentage"/>
                  <c:noEndCap val="1"/>
                  <c:val val="100"/>
                  <c:spPr>
                    <a:noFill/>
                    <a:ln w="15875" cap="flat" cmpd="sng" algn="ctr">
                      <a:solidFill>
                        <a:schemeClr val="bg1"/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Chart!$A$177:$A$180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6.2936253039197823</c:v>
                      </c:pt>
                      <c:pt idx="2">
                        <c:v>6.2936253039197823</c:v>
                      </c:pt>
                      <c:pt idx="3">
                        <c:v>99.999999999999986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Chart!$E$177:$E$180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ADE-45CF-8AFB-6E9B023A669A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Chart!$F$169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solidFill>
                    <a:srgbClr val="F9D1B5"/>
                  </a:solidFill>
                  <a:ln w="19050">
                    <a:solidFill>
                      <a:schemeClr val="bg1"/>
                    </a:solidFill>
                  </a:ln>
                  <a:effectLst/>
                </c:spPr>
                <c:errBars>
                  <c:errDir val="y"/>
                  <c:errBarType val="minus"/>
                  <c:errValType val="percentage"/>
                  <c:noEndCap val="1"/>
                  <c:val val="100"/>
                  <c:spPr>
                    <a:noFill/>
                    <a:ln w="15875" cap="flat" cmpd="sng" algn="ctr">
                      <a:solidFill>
                        <a:schemeClr val="bg1"/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Chart!$A$177:$A$180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6.2936253039197823</c:v>
                      </c:pt>
                      <c:pt idx="2">
                        <c:v>6.2936253039197823</c:v>
                      </c:pt>
                      <c:pt idx="3">
                        <c:v>99.999999999999986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Chart!$F$177:$F$180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DE-45CF-8AFB-6E9B023A669A}"/>
                  </c:ext>
                </c:extLst>
              </c15:ser>
            </c15:filteredAreaSeries>
          </c:ext>
        </c:extLst>
      </c:areaChart>
      <c:scatterChart>
        <c:scatterStyle val="lineMarker"/>
        <c:varyColors val="0"/>
        <c:ser>
          <c:idx val="2"/>
          <c:order val="5"/>
          <c:tx>
            <c:strRef>
              <c:f>Chart!$Q$133</c:f>
              <c:strCache>
                <c:ptCount val="1"/>
                <c:pt idx="0">
                  <c:v>Display label above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31CCC50-0ADE-4577-8CF6-7C8F73E42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ADE-45CF-8AFB-6E9B023A66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FE61B1-645D-4C60-9AD4-0D395CAED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ADE-45CF-8AFB-6E9B023A6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Chart!$Q$177:$R$177</c:f>
              <c:numCache>
                <c:formatCode>0.00</c:formatCode>
                <c:ptCount val="2"/>
                <c:pt idx="0">
                  <c:v>3.1468126519598911</c:v>
                </c:pt>
                <c:pt idx="1">
                  <c:v>53.146812651959884</c:v>
                </c:pt>
              </c:numCache>
            </c:numRef>
          </c:xVal>
          <c:yVal>
            <c:numRef>
              <c:f>Chart!$Q$172:$R$172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Chart!$H$170:$H$171</c15:f>
                <c15:dlblRangeCache>
                  <c:ptCount val="2"/>
                  <c:pt idx="0">
                    <c:v>KN
(6%)</c:v>
                  </c:pt>
                  <c:pt idx="1">
                    <c:v>TP
(94%)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ADE-45CF-8AFB-6E9B023A6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18960"/>
        <c:axId val="784006896"/>
      </c:scatterChart>
      <c:dateAx>
        <c:axId val="784018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4006896"/>
        <c:crosses val="autoZero"/>
        <c:auto val="0"/>
        <c:lblOffset val="100"/>
        <c:baseTimeUnit val="days"/>
        <c:majorUnit val="10"/>
        <c:majorTimeUnit val="days"/>
        <c:minorUnit val="10"/>
        <c:minorTimeUnit val="days"/>
      </c:dateAx>
      <c:valAx>
        <c:axId val="7840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18960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ayout>
        <c:manualLayout>
          <c:xMode val="edge"/>
          <c:yMode val="edge"/>
          <c:x val="0.76560097467856669"/>
          <c:y val="2.3255813953488372E-2"/>
          <c:w val="0.21601728979681736"/>
          <c:h val="0.588666910822193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340519</xdr:colOff>
      <xdr:row>4</xdr:row>
      <xdr:rowOff>95250</xdr:rowOff>
    </xdr:from>
    <xdr:to>
      <xdr:col>16</xdr:col>
      <xdr:colOff>85725</xdr:colOff>
      <xdr:row>21</xdr:row>
      <xdr:rowOff>38099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159544</xdr:colOff>
      <xdr:row>1</xdr:row>
      <xdr:rowOff>47625</xdr:rowOff>
    </xdr:from>
    <xdr:to>
      <xdr:col>32</xdr:col>
      <xdr:colOff>1247775</xdr:colOff>
      <xdr:row>2</xdr:row>
      <xdr:rowOff>9525</xdr:rowOff>
    </xdr:to>
    <xdr:grpSp>
      <xdr:nvGrpSpPr>
        <xdr:cNvPr id="3" name="Group 2"/>
        <xdr:cNvGrpSpPr/>
      </xdr:nvGrpSpPr>
      <xdr:grpSpPr>
        <a:xfrm>
          <a:off x="11065669" y="161925"/>
          <a:ext cx="1088231" cy="314325"/>
          <a:chOff x="12713494" y="161925"/>
          <a:chExt cx="838800" cy="314325"/>
        </a:xfrm>
      </xdr:grpSpPr>
      <xdr:sp macro="" textlink="">
        <xdr:nvSpPr>
          <xdr:cNvPr id="4" name="Round Same Side Corner Rectangle 3"/>
          <xdr:cNvSpPr/>
        </xdr:nvSpPr>
        <xdr:spPr>
          <a:xfrm>
            <a:off x="12742369" y="161925"/>
            <a:ext cx="781050" cy="314325"/>
          </a:xfrm>
          <a:prstGeom prst="round2SameRect">
            <a:avLst>
              <a:gd name="adj1" fmla="val 40910"/>
              <a:gd name="adj2" fmla="val 0"/>
            </a:avLst>
          </a:prstGeom>
          <a:solidFill>
            <a:schemeClr val="tx2">
              <a:lumMod val="40000"/>
              <a:lumOff val="60000"/>
            </a:schemeClr>
          </a:solidFill>
          <a:ln w="19050">
            <a:solidFill>
              <a:schemeClr val="tx2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/>
          <xdr:cNvSpPr txBox="1"/>
        </xdr:nvSpPr>
        <xdr:spPr>
          <a:xfrm>
            <a:off x="12713494" y="200025"/>
            <a:ext cx="838800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>
                <a:solidFill>
                  <a:schemeClr val="accent3">
                    <a:lumMod val="20000"/>
                    <a:lumOff val="80000"/>
                  </a:schemeClr>
                </a:solidFill>
                <a:latin typeface="Gill Sans MT" panose="020B0502020104020203" pitchFamily="34" charset="0"/>
              </a:rPr>
              <a:t>Home</a:t>
            </a:r>
          </a:p>
        </xdr:txBody>
      </xdr:sp>
    </xdr:grpSp>
    <xdr:clientData/>
  </xdr:twoCellAnchor>
  <xdr:twoCellAnchor>
    <xdr:from>
      <xdr:col>34</xdr:col>
      <xdr:colOff>114300</xdr:colOff>
      <xdr:row>1</xdr:row>
      <xdr:rowOff>47625</xdr:rowOff>
    </xdr:from>
    <xdr:to>
      <xdr:col>35</xdr:col>
      <xdr:colOff>409575</xdr:colOff>
      <xdr:row>2</xdr:row>
      <xdr:rowOff>9525</xdr:rowOff>
    </xdr:to>
    <xdr:grpSp>
      <xdr:nvGrpSpPr>
        <xdr:cNvPr id="6" name="Group 5"/>
        <xdr:cNvGrpSpPr/>
      </xdr:nvGrpSpPr>
      <xdr:grpSpPr>
        <a:xfrm>
          <a:off x="12363450" y="161925"/>
          <a:ext cx="1123950" cy="314325"/>
          <a:chOff x="13627894" y="161925"/>
          <a:chExt cx="838800" cy="314325"/>
        </a:xfrm>
      </xdr:grpSpPr>
      <xdr:sp macro="" textlink="">
        <xdr:nvSpPr>
          <xdr:cNvPr id="7" name="Round Same Side Corner Rectangle 6"/>
          <xdr:cNvSpPr/>
        </xdr:nvSpPr>
        <xdr:spPr>
          <a:xfrm>
            <a:off x="13656769" y="161925"/>
            <a:ext cx="781050" cy="314325"/>
          </a:xfrm>
          <a:prstGeom prst="round2SameRect">
            <a:avLst>
              <a:gd name="adj1" fmla="val 40910"/>
              <a:gd name="adj2" fmla="val 0"/>
            </a:avLst>
          </a:prstGeom>
          <a:solidFill>
            <a:sysClr val="window" lastClr="FFFFFF"/>
          </a:solidFill>
          <a:ln w="19050">
            <a:solidFill>
              <a:schemeClr val="accent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/>
          <xdr:cNvSpPr txBox="1"/>
        </xdr:nvSpPr>
        <xdr:spPr>
          <a:xfrm>
            <a:off x="13627894" y="200025"/>
            <a:ext cx="838800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>
                <a:latin typeface="Gill Sans MT" panose="020B0502020104020203" pitchFamily="34" charset="0"/>
              </a:rPr>
              <a:t>YTD</a:t>
            </a:r>
          </a:p>
        </xdr:txBody>
      </xdr:sp>
    </xdr:grpSp>
    <xdr:clientData/>
  </xdr:twoCellAnchor>
  <xdr:twoCellAnchor>
    <xdr:from>
      <xdr:col>37</xdr:col>
      <xdr:colOff>133349</xdr:colOff>
      <xdr:row>1</xdr:row>
      <xdr:rowOff>47625</xdr:rowOff>
    </xdr:from>
    <xdr:to>
      <xdr:col>38</xdr:col>
      <xdr:colOff>400049</xdr:colOff>
      <xdr:row>2</xdr:row>
      <xdr:rowOff>9525</xdr:rowOff>
    </xdr:to>
    <xdr:grpSp>
      <xdr:nvGrpSpPr>
        <xdr:cNvPr id="9" name="Group 8"/>
        <xdr:cNvGrpSpPr/>
      </xdr:nvGrpSpPr>
      <xdr:grpSpPr>
        <a:xfrm>
          <a:off x="14039849" y="161925"/>
          <a:ext cx="1095375" cy="314325"/>
          <a:chOff x="14468476" y="161925"/>
          <a:chExt cx="838200" cy="314325"/>
        </a:xfrm>
      </xdr:grpSpPr>
      <xdr:sp macro="" textlink="">
        <xdr:nvSpPr>
          <xdr:cNvPr id="10" name="Round Same Side Corner Rectangle 9"/>
          <xdr:cNvSpPr/>
        </xdr:nvSpPr>
        <xdr:spPr>
          <a:xfrm>
            <a:off x="14487526" y="161925"/>
            <a:ext cx="781050" cy="314325"/>
          </a:xfrm>
          <a:prstGeom prst="round2SameRect">
            <a:avLst>
              <a:gd name="adj1" fmla="val 40910"/>
              <a:gd name="adj2" fmla="val 0"/>
            </a:avLst>
          </a:prstGeom>
          <a:solidFill>
            <a:schemeClr val="tx2">
              <a:lumMod val="40000"/>
              <a:lumOff val="60000"/>
            </a:schemeClr>
          </a:solidFill>
          <a:ln w="19050">
            <a:solidFill>
              <a:schemeClr val="tx2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4468476" y="200025"/>
            <a:ext cx="838200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>
                <a:solidFill>
                  <a:schemeClr val="accent3">
                    <a:lumMod val="20000"/>
                    <a:lumOff val="80000"/>
                  </a:schemeClr>
                </a:solidFill>
                <a:latin typeface="Gill Sans MT" panose="020B0502020104020203" pitchFamily="34" charset="0"/>
              </a:rPr>
              <a:t>In progress</a:t>
            </a:r>
          </a:p>
        </xdr:txBody>
      </xdr:sp>
    </xdr:grpSp>
    <xdr:clientData/>
  </xdr:twoCellAnchor>
  <xdr:twoCellAnchor>
    <xdr:from>
      <xdr:col>40</xdr:col>
      <xdr:colOff>223838</xdr:colOff>
      <xdr:row>1</xdr:row>
      <xdr:rowOff>47625</xdr:rowOff>
    </xdr:from>
    <xdr:to>
      <xdr:col>41</xdr:col>
      <xdr:colOff>466725</xdr:colOff>
      <xdr:row>2</xdr:row>
      <xdr:rowOff>9525</xdr:rowOff>
    </xdr:to>
    <xdr:grpSp>
      <xdr:nvGrpSpPr>
        <xdr:cNvPr id="12" name="Group 11"/>
        <xdr:cNvGrpSpPr/>
      </xdr:nvGrpSpPr>
      <xdr:grpSpPr>
        <a:xfrm>
          <a:off x="15787688" y="161925"/>
          <a:ext cx="1071562" cy="314325"/>
          <a:chOff x="15368588" y="161925"/>
          <a:chExt cx="838200" cy="314325"/>
        </a:xfrm>
      </xdr:grpSpPr>
      <xdr:sp macro="" textlink="">
        <xdr:nvSpPr>
          <xdr:cNvPr id="13" name="Round Same Side Corner Rectangle 12"/>
          <xdr:cNvSpPr/>
        </xdr:nvSpPr>
        <xdr:spPr>
          <a:xfrm>
            <a:off x="15397163" y="161925"/>
            <a:ext cx="781050" cy="314325"/>
          </a:xfrm>
          <a:prstGeom prst="round2SameRect">
            <a:avLst>
              <a:gd name="adj1" fmla="val 40910"/>
              <a:gd name="adj2" fmla="val 0"/>
            </a:avLst>
          </a:prstGeom>
          <a:solidFill>
            <a:schemeClr val="tx2">
              <a:lumMod val="40000"/>
              <a:lumOff val="60000"/>
            </a:schemeClr>
          </a:solidFill>
          <a:ln w="19050">
            <a:solidFill>
              <a:schemeClr val="tx2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5368588" y="200025"/>
            <a:ext cx="838200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>
                <a:solidFill>
                  <a:schemeClr val="accent3">
                    <a:lumMod val="20000"/>
                    <a:lumOff val="80000"/>
                  </a:schemeClr>
                </a:solidFill>
                <a:latin typeface="Gill Sans MT" panose="020B0502020104020203" pitchFamily="34" charset="0"/>
              </a:rPr>
              <a:t>Weekly</a:t>
            </a:r>
          </a:p>
        </xdr:txBody>
      </xdr:sp>
    </xdr:grpSp>
    <xdr:clientData/>
  </xdr:twoCellAnchor>
  <xdr:twoCellAnchor>
    <xdr:from>
      <xdr:col>32</xdr:col>
      <xdr:colOff>28575</xdr:colOff>
      <xdr:row>2</xdr:row>
      <xdr:rowOff>1</xdr:rowOff>
    </xdr:from>
    <xdr:to>
      <xdr:col>43</xdr:col>
      <xdr:colOff>228600</xdr:colOff>
      <xdr:row>2</xdr:row>
      <xdr:rowOff>133351</xdr:rowOff>
    </xdr:to>
    <xdr:sp macro="" textlink="">
      <xdr:nvSpPr>
        <xdr:cNvPr id="15" name="Rectangle 14"/>
        <xdr:cNvSpPr/>
      </xdr:nvSpPr>
      <xdr:spPr>
        <a:xfrm>
          <a:off x="12220575" y="381001"/>
          <a:ext cx="4391025" cy="1333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</xdr:colOff>
      <xdr:row>2</xdr:row>
      <xdr:rowOff>133350</xdr:rowOff>
    </xdr:from>
    <xdr:to>
      <xdr:col>3</xdr:col>
      <xdr:colOff>352425</xdr:colOff>
      <xdr:row>4</xdr:row>
      <xdr:rowOff>104775</xdr:rowOff>
    </xdr:to>
    <xdr:sp macro="" textlink="">
      <xdr:nvSpPr>
        <xdr:cNvPr id="16" name="Rounded Rectangle 15"/>
        <xdr:cNvSpPr/>
      </xdr:nvSpPr>
      <xdr:spPr>
        <a:xfrm>
          <a:off x="533400" y="514350"/>
          <a:ext cx="962025" cy="352425"/>
        </a:xfrm>
        <a:prstGeom prst="roundRect">
          <a:avLst/>
        </a:prstGeom>
        <a:solidFill>
          <a:schemeClr val="bg1">
            <a:lumMod val="95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andara" panose="020E0502030303020204" pitchFamily="34" charset="0"/>
            </a:rPr>
            <a:t>Value</a:t>
          </a:r>
        </a:p>
      </xdr:txBody>
    </xdr:sp>
    <xdr:clientData/>
  </xdr:twoCellAnchor>
  <xdr:twoCellAnchor>
    <xdr:from>
      <xdr:col>17</xdr:col>
      <xdr:colOff>292894</xdr:colOff>
      <xdr:row>4</xdr:row>
      <xdr:rowOff>57150</xdr:rowOff>
    </xdr:from>
    <xdr:to>
      <xdr:col>26</xdr:col>
      <xdr:colOff>314325</xdr:colOff>
      <xdr:row>11</xdr:row>
      <xdr:rowOff>104775</xdr:rowOff>
    </xdr:to>
    <xdr:graphicFrame macro="">
      <xdr:nvGraphicFramePr>
        <xdr:cNvPr id="1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352425</xdr:colOff>
      <xdr:row>14</xdr:row>
      <xdr:rowOff>19051</xdr:rowOff>
    </xdr:from>
    <xdr:to>
      <xdr:col>26</xdr:col>
      <xdr:colOff>371475</xdr:colOff>
      <xdr:row>21</xdr:row>
      <xdr:rowOff>38100</xdr:rowOff>
    </xdr:to>
    <xdr:graphicFrame macro="">
      <xdr:nvGraphicFramePr>
        <xdr:cNvPr id="1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83344</xdr:colOff>
      <xdr:row>24</xdr:row>
      <xdr:rowOff>123825</xdr:rowOff>
    </xdr:from>
    <xdr:to>
      <xdr:col>17</xdr:col>
      <xdr:colOff>304800</xdr:colOff>
      <xdr:row>39</xdr:row>
      <xdr:rowOff>133350</xdr:rowOff>
    </xdr:to>
    <xdr:graphicFrame macro="">
      <xdr:nvGraphicFramePr>
        <xdr:cNvPr id="1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161926</xdr:colOff>
      <xdr:row>24</xdr:row>
      <xdr:rowOff>104775</xdr:rowOff>
    </xdr:from>
    <xdr:to>
      <xdr:col>29</xdr:col>
      <xdr:colOff>219076</xdr:colOff>
      <xdr:row>32</xdr:row>
      <xdr:rowOff>95250</xdr:rowOff>
    </xdr:to>
    <xdr:graphicFrame macro="">
      <xdr:nvGraphicFramePr>
        <xdr:cNvPr id="2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247650</xdr:colOff>
      <xdr:row>34</xdr:row>
      <xdr:rowOff>85725</xdr:rowOff>
    </xdr:from>
    <xdr:to>
      <xdr:col>28</xdr:col>
      <xdr:colOff>304800</xdr:colOff>
      <xdr:row>39</xdr:row>
      <xdr:rowOff>47625</xdr:rowOff>
    </xdr:to>
    <xdr:graphicFrame macro="">
      <xdr:nvGraphicFramePr>
        <xdr:cNvPr id="21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180974</xdr:colOff>
      <xdr:row>114</xdr:row>
      <xdr:rowOff>57150</xdr:rowOff>
    </xdr:from>
    <xdr:to>
      <xdr:col>25</xdr:col>
      <xdr:colOff>158749</xdr:colOff>
      <xdr:row>131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180974</xdr:colOff>
      <xdr:row>150</xdr:row>
      <xdr:rowOff>57150</xdr:rowOff>
    </xdr:from>
    <xdr:to>
      <xdr:col>25</xdr:col>
      <xdr:colOff>158749</xdr:colOff>
      <xdr:row>167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gocphuongtrinh\Fdrive\SP_SLOB\2022%20SLOB%20Weekly\SLOB%20Report%20W21%202022.05.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"/>
      <sheetName val="RPM Summary"/>
      <sheetName val="2.9bil"/>
      <sheetName val="3. Principle"/>
      <sheetName val="Stock"/>
      <sheetName val="Check Stock count"/>
      <sheetName val="Check (No Transaction)"/>
      <sheetName val="Path"/>
      <sheetName val="Proposal_Query"/>
      <sheetName val="SLOB Report W21 2022.05.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G4" t="str">
            <v>C:\Users\lengocphuongtrinh\Fdrive\SP_SLOB\SLOB PROPOSAL.xlsx</v>
          </cell>
        </row>
        <row r="6">
          <cell r="G6" t="str">
            <v>C:\Users\lengocphuongtrinh\Fdrive\SP_SLOB\2022 SLOB Weekly\SLOB Report W21 2022.05.19.xlsm</v>
          </cell>
        </row>
        <row r="8">
          <cell r="G8" t="str">
            <v>D:\SLOB\0. Improve SLOB\Report\0. SLOB Report.xlsx</v>
          </cell>
        </row>
        <row r="10">
          <cell r="G10" t="str">
            <v>C:\Users\lengocphuongtrinh\Fdrive\SP_SLOB\FG Master Data.xlsx</v>
          </cell>
        </row>
      </sheetData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gocphuongtrinh\Fdrive\SP_SLOB\2022%20SLOB%20Weekly\SLOB%20Report%20W21%202022.05.19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gocphuongtrinh" refreshedDate="44693.602118287039" createdVersion="6" refreshedVersion="6" minRefreshableVersion="3" recordCount="2434">
  <cacheSource type="worksheet">
    <worksheetSource name="SLOB_Proposal" r:id="rId2"/>
  </cacheSource>
  <cacheFields count="22"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Month" numFmtId="14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 u="1"/>
      </sharedItems>
    </cacheField>
    <cacheField name="Proposal Date" numFmtId="0">
      <sharedItems containsSemiMixedTypes="0" containsString="0" containsNumber="1" containsInteger="1" minValue="44202" maxValue="44690"/>
    </cacheField>
    <cacheField name="Category" numFmtId="0">
      <sharedItems count="12">
        <s v="01. Wrap Food"/>
        <s v="07. Processed Rice"/>
        <s v="08. Healthy Food"/>
        <s v="02. Pickled Product"/>
        <s v="06. Seasoning &amp; Sauce"/>
        <s v="04. Processed Meat/Seafood"/>
        <s v="03. Snack"/>
        <s v="09. ETC"/>
        <s v="Raw"/>
        <s v="Semi FGs"/>
        <s v="Pack"/>
        <s v="Non-FG" u="1"/>
      </sharedItems>
    </cacheField>
    <cacheField name="Group" numFmtId="0">
      <sharedItems containsBlank="1" count="4">
        <s v="FG"/>
        <s v="RPM"/>
        <m u="1"/>
        <s v="Other" u="1"/>
      </sharedItems>
    </cacheField>
    <cacheField name="PH1" numFmtId="0">
      <sharedItems containsBlank="1" count="57">
        <s v="Springroll"/>
        <s v="Korean food"/>
        <s v="Inner B"/>
        <s v="Dimsum"/>
        <s v="Kimchi"/>
        <s v="Cooking Sauce"/>
        <s v="Vietnamese Hams"/>
        <s v="Tea"/>
        <s v="Seaweed"/>
        <s v="Seasoning Powder"/>
        <s v="Between Meals"/>
        <s v="Fish cake"/>
        <s v="KIM CHI"/>
        <s v="Premix"/>
        <s v="Dipping Sauce"/>
        <s v="Functional beverage"/>
        <s v="Ball Types"/>
        <s v="Grabkitchen"/>
        <s v="Mandu"/>
        <s v="ETC"/>
        <s v="Non-Korean food"/>
        <s v="TOFU"/>
        <s v="Raw"/>
        <s v="Sausage"/>
        <s v="Vietnamese Ham"/>
        <s v="Convenient Sauces"/>
        <s v="Rice Meal"/>
        <s v=" Vietnamese Ham "/>
        <s v="Semi FGs"/>
        <s v="Rice Noodle"/>
        <s v="Food Milling - Import"/>
        <s v="Rice paper"/>
        <s v="Korean Paste"/>
        <s v="Other ETC"/>
        <s v="Skin Beauty "/>
        <m/>
        <s v="Skin Beauty"/>
        <s v="Food Milling - Premix"/>
        <s v="Frozen Snacks"/>
        <s v="Retort Meat"/>
        <s v="Sausage "/>
        <s v="Cooked Rice"/>
        <s v="Food Milling"/>
        <s v="Ksauce"/>
        <s v="Wheat flour"/>
        <s v="Food Solution ETC"/>
        <s v="Inner Packaging"/>
        <s v="Vietnamese Pickle"/>
        <s v="Meat Snack"/>
        <s v="Hưng Yên"/>
        <s v="Food Solution"/>
        <s v="Other Processed Rice - Import"/>
        <s v="Other Beverage"/>
        <s v="Outer box"/>
        <s v="Dry Noodle"/>
        <s v="Decal"/>
        <s v="Raw " u="1"/>
      </sharedItems>
    </cacheField>
    <cacheField name="Location" numFmtId="0">
      <sharedItems count="10">
        <s v="Hưng Yên"/>
        <s v="Tân Phú"/>
        <s v="Tân Tạo"/>
        <s v="Kizuna"/>
        <s v="Vị Nguyên"/>
        <s v="Gò Đàng"/>
        <s v="Thọ Phát"/>
        <s v="Đại Phát"/>
        <s v="Tân Đạt Việt"/>
        <s v="Tan Dat Viet" u="1"/>
      </sharedItems>
    </cacheField>
    <cacheField name="Code" numFmtId="0">
      <sharedItems containsBlank="1" count="425">
        <s v="31CTR00028"/>
        <s v="DCOALI0002C"/>
        <s v="DCOHAL0017C"/>
        <s v="DNUCOL0005C"/>
        <s v="TPCTEHC026"/>
        <s v="11VNA00318"/>
        <s v="DGVNTU0001C"/>
        <s v="DNUCOL0004C"/>
        <s v="DTBVSK0001C"/>
        <s v="TPCTECL038"/>
        <s v="TRCTEOL024"/>
        <s v="11VNA00069"/>
        <s v="DCOHAL0023C"/>
        <s v="DGVHNE0017C"/>
        <s v="TPCTEBG002"/>
        <s v="31MDA00001"/>
        <s v="11VNA00067"/>
        <s v="11VNA00068"/>
        <s v="11VNA00341"/>
        <s v="DBOBCH0001C"/>
        <s v="DBOBCH0004C"/>
        <s v="DGVDAU0027C"/>
        <s v="DGVHNE0011C"/>
        <s v="DGVTTR0013C"/>
        <s v="DTUGUO0012C"/>
        <s v="DXOUOP0002C"/>
        <s v="HHCTECV006"/>
        <s v="TPCTEBV017"/>
        <s v="TPCTERB002"/>
        <s v="TPCTERB003"/>
        <s v="11VNA00316"/>
        <s v="11VNA00320"/>
        <s v="HHCTECL004"/>
        <s v="TPCTECL035"/>
        <s v="TPDJMBX001"/>
        <s v="TPDJMXM005"/>
        <s v="TPKAGNS001"/>
        <s v="TPKAGXM004"/>
        <s v="TPTMICG003"/>
        <s v="11VNA00081"/>
        <s v="11VNA00123"/>
        <s v="11VNA00319"/>
        <s v="11VNA00045"/>
        <s v="11VNA00273"/>
        <s v="DXOGVI0001C"/>
        <s v="TPCTEBB016"/>
        <s v="TPCTECV022"/>
        <s v="HHCJFGI001"/>
        <s v="NLGRSOT001"/>
        <s v="NLGRSOT002"/>
        <s v="NLGRSOT005"/>
        <s v="NLGRTHI002"/>
        <s v="NLGRTHI003"/>
        <s v="11VNA00275BGG"/>
        <s v="11VNA00317"/>
        <s v="11VNA00327"/>
        <s v="11VNA00385"/>
        <s v="193316"/>
        <s v="DBAXEP0002C"/>
        <s v="TPCTERB001"/>
        <s v="11VNA00051"/>
        <s v="31CTR00052"/>
        <s v="HHGCBXE001"/>
        <s v="TPJCJPH001"/>
        <s v="TPJCJPH002"/>
        <s v="11VNA00002"/>
        <s v="11VNA00004"/>
        <s v="11VNA00124"/>
        <s v="11VNA00321"/>
        <s v="41VNA00366"/>
        <s v="TPCJKBX001"/>
        <s v="TPCJKBX002"/>
        <s v="TPCJKBX003"/>
        <s v="TPCJKBX004"/>
        <s v="TPCTECB004"/>
        <s v="NLHSMUN014"/>
        <s v="HHCTECL001"/>
        <s v="HHCTEXX003"/>
        <s v="TPCTEBG003"/>
        <s v="TPCTECB006"/>
        <s v="TPCTECH006"/>
        <s v="TPTFGHT017 "/>
        <s v="193317"/>
        <s v="DTAHCA0001C"/>
        <s v="HHCTEXX001"/>
        <s v="11VNA00315"/>
        <s v="31CTR00001"/>
        <s v="11VNA00005"/>
        <s v="TPCTEBX041"/>
        <s v="11VNA00133"/>
        <s v="NLPLGVI080"/>
        <s v="NLPLGVI112"/>
        <s v="NLPLSOI040"/>
        <s v="NLPLTUG025"/>
        <s v="11VNA00327GG"/>
        <s v="DGVTOT0016C"/>
        <s v="NLGRSOT004"/>
        <s v="NLPLBOT128"/>
        <s v="NLPLGVI085"/>
        <s v="NLPLPGI066"/>
        <s v="NLPLPGI126"/>
        <s v="NLPLTUG045"/>
        <s v="11VNA00077"/>
        <s v="HHCJBX077"/>
        <s v="TPCTECB005"/>
        <s v="DBAXEP0003C"/>
        <s v="HHGCBXE004"/>
        <s v="11VNA00006"/>
        <s v="11VNA00125"/>
        <s v="DXOUOP0026C"/>
        <s v="HHCTEXX010"/>
        <s v="TPCTEBX044"/>
        <s v="11VNA00132"/>
        <s v="11VNA00134"/>
        <s v="TPCTEBX046"/>
        <s v="11VNA00084"/>
        <s v="11VNA00115"/>
        <s v="11VNA00345"/>
        <s v="TPCTECG065"/>
        <s v="11VNA00313"/>
        <s v="NLPLPGI161"/>
        <s v="NLPLTUG043"/>
        <s v="NLPLNSA007"/>
        <s v="NLSSTBO025"/>
        <s v="DXOGVI0010C"/>
        <s v="TPCTEHC027"/>
        <s v="11VNA00343"/>
        <s v="DGVHNE0001C"/>
        <s v="TPCTECLT39"/>
        <s v="TPCTEBX045"/>
        <s v="TPCTECH007"/>
        <s v="DGVTOT0027C"/>
        <s v="TPCTESO003"/>
        <s v="DXOUOP0025C"/>
        <s v="TPCTEBX052"/>
        <s v="TPCTECG063"/>
        <s v="TPCTECG067"/>
        <s v="TPCTECG076"/>
        <s v="DTBVSK0003C"/>
        <s v="DTBVSK0006C"/>
        <s v="DTBVSK0007C"/>
        <s v="DTBVSK0010C"/>
        <s v="DTBVSK0011C"/>
        <s v="DXOUOP0007"/>
        <s v="HHGCBXE003"/>
        <s v="TPCTEBX051"/>
        <s v="TPCTEBX053"/>
        <s v="TRCTEOL009"/>
        <s v="TRCTEOL033"/>
        <s v="TRCTEOL037"/>
        <s v="NLPLBOT146"/>
        <s v="HHGCBXE002"/>
        <s v="TRCTEOL035"/>
        <s v="DXOUOP0011"/>
        <s v="TPCTEBX062"/>
        <s v="NLPLNSA051"/>
        <s v="11VNA00119"/>
        <s v="11VN600185"/>
        <s v="DBOBMI0008"/>
        <s v="DGVTOT0005C"/>
        <s v="TPCTEMI001"/>
        <s v="TPCTESO004"/>
        <s v="NLPLGVI143"/>
        <s v="NLPLHUG053"/>
        <s v="NLPLHUG065"/>
        <s v="HHGCBXE001 "/>
        <s v="TPCTEBA031"/>
        <s v="TPCTEXM005"/>
        <s v="TPCTEBX040"/>
        <s v="TPCTOHYA04"/>
        <s v="NLPLSOI007"/>
        <s v="DCOALI0001C"/>
        <s v="DGVNTU0009C"/>
        <s v="HHCTEBV004"/>
        <s v="NLPLBSU008"/>
        <s v="NLPLPGI146"/>
        <s v="12GER00001 / 12GER00004"/>
        <s v="12GER00002 / 12GER00003"/>
        <s v="TPTFGHT019"/>
        <s v="41VNA00109"/>
        <s v="TPMDAXO001"/>
        <s v="TPCTECL045"/>
        <s v="TPCTEBG011"/>
        <s v="TPCTECL046"/>
        <s v="TPCTECG091"/>
        <s v="12AUS00015"/>
        <s v="31CTR00072"/>
        <s v="91VNA00043"/>
        <s v="DCOALI0017C"/>
        <s v="DGVTOT0003C"/>
        <s v="DXOUOP0005C"/>
        <s v="DXOUOP0008C"/>
        <s v="DXOUOP0014C"/>
        <s v="NLPLPMA010"/>
        <s v="41VNA00485"/>
        <s v="BTPOHYAC01"/>
        <s v="BTPOHYAG01"/>
        <s v="BTPOHYAN01"/>
        <s v="91VNA00039"/>
        <s v="91VNA00041"/>
        <s v="TPCTEBA038"/>
        <s v="TPCTEBA039"/>
        <s v="TPCTEBX063"/>
        <s v="TPCTEBX061"/>
        <s v="91VNA00042"/>
        <s v="170116"/>
        <s v="174609"/>
        <s v="TPCTELT002"/>
        <s v="NLPLPGI158"/>
        <s v="41VNA00362"/>
        <s v="NLCBSOT019"/>
        <s v="NLNSNAM002"/>
        <s v="NLPLBOT109"/>
        <s v="NLPLBOT145"/>
        <s v="NLPLBSU066"/>
        <s v="180817"/>
        <s v="DBOBCH0002C"/>
        <s v="TPCTEBV001"/>
        <s v="11VNA00344"/>
        <s v="175223"/>
        <s v="DTAHTH0004C"/>
        <s v="DTUGUO0016C"/>
        <s v="TPCTEHC029"/>
        <s v="NLPLMAM008"/>
        <s v="NLPLGVI145"/>
        <s v="TPCTECL044"/>
        <s v="TPCTECG066"/>
        <s v="TPCTECG064"/>
        <s v="TPCTECG073"/>
        <s v="DGVTOT0011C"/>
        <s v="TPCTEHC021"/>
        <s v="TPCTECV001"/>
        <s v="DGVTOT0012C"/>
        <s v="DTAMIE0004C"/>
        <s v="11VNA00467"/>
        <s v="TPCTECG070"/>
        <s v="11VNA00335"/>
        <s v="11VNA00466"/>
        <s v="41VNA00452"/>
        <s v="NLPLGVI141"/>
        <s v="41VNA00168"/>
        <s v="41VNA00361"/>
        <s v="NLPLNSA052"/>
        <s v="NLPLMAU159"/>
        <s v="NLPLBOT150"/>
        <s v="TPCTECG056"/>
        <s v="TPCTEBX043"/>
        <s v="NLPLHUG059"/>
        <s v="DGVTTR0001"/>
        <s v="41VNA00378"/>
        <s v="NLPLHUG056"/>
        <s v="41VNA00488"/>
        <s v="NLPLPGI047"/>
        <s v="NLPLHUG062"/>
        <s v="NLPLPGI166"/>
        <s v="11VNA00473"/>
        <s v="11VNA00052"/>
        <s v="11VNA00056"/>
        <s v="DBOBMI0002C"/>
        <s v="DGVTOT0010C"/>
        <s v="DGVDAU0002C"/>
        <s v="DGVNTU0004"/>
        <s v="197011"/>
        <s v="HHCTECV008"/>
        <s v="TPCTECG068"/>
        <s v="TPCTEHC024"/>
        <s v="TPCTECL042"/>
        <s v="TPCTECL037"/>
        <s v="BTPOLOB009"/>
        <s v="NLPLBOT041"/>
        <s v="NLPLDAM020"/>
        <s v="NLPLHUG015"/>
        <s v="NLPLHUG058"/>
        <s v="NLPLNSA013"/>
        <s v="NLPLPGI118"/>
        <s v="NLPLMAU059"/>
        <s v="NLPLMAU001"/>
        <s v="NLPLGVI081"/>
        <s v="BBPVDCL003"/>
        <s v="41VNA00103"/>
        <s v="41VNA00222"/>
        <s v="41VNA00284"/>
        <s v="41VNA00294"/>
        <s v="41VNA00365"/>
        <s v="41VNA00386"/>
        <s v="51VNA00265"/>
        <s v="11VNA00048"/>
        <s v="TPCTEBX048"/>
        <s v="31CHI00076"/>
        <s v="31CHI00077"/>
        <s v="HHCTELT001"/>
        <s v="31CTR00042"/>
        <s v="11VNA00323"/>
        <s v="11VNA00302"/>
        <s v="31CTR00109"/>
        <s v="31CTR00100"/>
        <s v="31CTR00107"/>
        <s v="31CTR00077"/>
        <s v="TPCTECG057"/>
        <s v="TPCTEBA032"/>
        <s v="11VNA00046"/>
        <s v="11VNA00333"/>
        <s v="TPCTENE001"/>
        <s v="TPCTEXC004"/>
        <s v="DBOBMI0010"/>
        <s v="DGVHNE0009C"/>
        <s v="11VNA00342"/>
        <s v="TPCTEBA033"/>
        <s v="DCOALI0012C"/>
        <s v="DBOGRA0004C"/>
        <s v="DBAXEP0001C"/>
        <s v="DCOHAL0022C"/>
        <s v="DRBCUO0004C"/>
        <s v="NLDAHTH017"/>
        <s v="NLPLGVI152"/>
        <s v="NLPLGVI153"/>
        <s v="NLPLGVI154"/>
        <s v="NLPLGVI155"/>
        <s v="NLPLGVI156"/>
        <s v="NLPLBOT048"/>
        <s v="41VNA00056"/>
        <s v="NLCBSOT024"/>
        <s v="41VNA00199"/>
        <s v="41VNA00155"/>
        <s v="41VNA00163"/>
        <s v="41VNA00295"/>
        <s v="41VNA00358"/>
        <s v="41VNA00090"/>
        <s v="41VNA00364"/>
        <s v="NLPLDAN021"/>
        <s v="41VNA00072"/>
        <s v="DGVTOT0001"/>
        <s v="TRCTEOL032"/>
        <s v="TPCTECC005"/>
        <s v="TPCTECC004"/>
        <s v="TPCTENN001"/>
        <s v="TPCTEHC025"/>
        <s v="TPCTENE003"/>
        <s v="TPCTECG062"/>
        <s v="11vna00329"/>
        <s v="11VNA00315-1"/>
        <s v="41VNA00152"/>
        <s v="41VNA00236"/>
        <s v="41VNA00363"/>
        <s v="41VNA00192"/>
        <s v="41VNA00162"/>
        <s v="NLPLZZZ004"/>
        <s v="DGVDAU0001C"/>
        <s v="NLPLGVI140"/>
        <s v="NLPLHUG060"/>
        <s v="41VNA00052"/>
        <s v="41VNA00040"/>
        <s v="NLPLGV0160"/>
        <s v="NLPLGV0161"/>
        <s v="NLPLGV0162"/>
        <s v="NLPLGV0163"/>
        <s v="NLPLGV0164"/>
        <s v="NLPLGV0165"/>
        <s v="NLPLGV0166"/>
        <s v="NLPLGV0167"/>
        <s v="NLPLGV0168"/>
        <s v="NLPLGV0169"/>
        <s v="NLPLGVI158"/>
        <s v="NLPLGVI173"/>
        <s v="NLPLGVI174"/>
        <s v="NLPLGVI175"/>
        <s v="NLPLGVI176"/>
        <s v="NLPLGVI177"/>
        <s v="41VNA00088"/>
        <s v="41VNA00188"/>
        <s v="NLPLGV0170"/>
        <s v="NLPLGV0171"/>
        <s v="NLPLGV0172"/>
        <s v="NLDAHCA107"/>
        <s v="NLDAHCA108"/>
        <s v="NLPLGVI146"/>
        <s v="NLPLGVI147"/>
        <s v="NLPLGVI148"/>
        <s v="NLPLGVI149"/>
        <s v="NLPLGVI150"/>
        <s v="NLPLGVI151"/>
        <s v="NLPLHUG067"/>
        <s v="41VNA00049"/>
        <s v="41VNA00050"/>
        <s v="TPCTELT001"/>
        <s v="TPCTECC007"/>
        <s v="DBOBMI0002"/>
        <s v="TPCTECL043"/>
        <s v="DGVTTR0008C"/>
        <s v="DGVTTR0012C"/>
        <s v="DTBVSK0008C"/>
        <s v="51VNA01190"/>
        <s v="DGVTTR0019C"/>
        <s v="DTBVSK0009C"/>
        <s v="DTUGUO0011C"/>
        <s v="TPCTEHC030"/>
        <s v="TPCTENE004"/>
        <s v="TPCTENN003"/>
        <s v="TPCTECV002"/>
        <s v="TPCTECC006"/>
        <s v="91VNA00030"/>
        <s v="41VNA00093"/>
        <s v="NLPLVHS005"/>
        <s v="NLDABTR006"/>
        <s v="NLPLBOT142"/>
        <s v="NLPLPGI147"/>
        <s v="BTPGAXA001"/>
        <s v="NLNSBDO001"/>
        <s v="NLNSKHO016"/>
        <s v="NLNSLDU001"/>
        <s v="51VNA00202"/>
        <s v="NLPLPGI137"/>
        <s v="41VNA00016"/>
        <s v="41VNA00165"/>
        <s v="41VNA00166"/>
        <s v="51VNA00857"/>
        <s v="51VNA00862"/>
        <s v="51VNA01025"/>
        <s v="51VNA01056"/>
        <s v="51VNA00591"/>
        <s v="51VNA00668"/>
        <s v="BBKHBXE013"/>
        <m/>
        <s v="51VNA00837"/>
        <s v="NLPLPGI119"/>
      </sharedItems>
    </cacheField>
    <cacheField name="Description" numFmtId="0">
      <sharedItems/>
    </cacheField>
    <cacheField name="UoM" numFmtId="0">
      <sharedItems/>
    </cacheField>
    <cacheField name="Quantity" numFmtId="0">
      <sharedItems containsSemiMixedTypes="0" containsString="0" containsNumber="1" minValue="0.24" maxValue="1070000"/>
    </cacheField>
    <cacheField name="Total Weight" numFmtId="0">
      <sharedItems containsString="0" containsBlank="1" containsNumber="1" minValue="0" maxValue="10896"/>
    </cacheField>
    <cacheField name="Weight/unit" numFmtId="14">
      <sharedItems containsNonDate="0" containsDate="1" containsString="0" containsBlank="1" minDate="1899-12-30T00:00:00" maxDate="1901-06-04T00:00:00"/>
    </cacheField>
    <cacheField name="Expiry date" numFmtId="0">
      <sharedItems containsString="0" containsBlank="1" containsNumber="1" containsInteger="1" minValue="43967" maxValue="45317"/>
    </cacheField>
    <cacheField name="Reason" numFmtId="0">
      <sharedItems containsBlank="1" longText="1"/>
    </cacheField>
    <cacheField name="Estimated Loss" numFmtId="0">
      <sharedItems containsSemiMixedTypes="0" containsString="0" containsNumber="1" minValue="-6446399.999999878" maxValue="382550000"/>
    </cacheField>
    <cacheField name="Status" numFmtId="0">
      <sharedItems containsBlank="1" count="4">
        <s v="Done"/>
        <s v="In progress"/>
        <s v="Cancel"/>
        <m/>
      </sharedItems>
    </cacheField>
    <cacheField name="Actual quantity" numFmtId="0">
      <sharedItems containsSemiMixedTypes="0" containsString="0" containsNumber="1" minValue="0" maxValue="1070000"/>
    </cacheField>
    <cacheField name="Actual Loss" numFmtId="0">
      <sharedItems containsSemiMixedTypes="0" containsString="0" containsNumber="1" minValue="-1237977.3999999766" maxValue="322107100"/>
    </cacheField>
    <cacheField name="Type" numFmtId="0">
      <sharedItems count="5">
        <s v="InternalSales"/>
        <s v="Giveaway"/>
        <s v="Disposal"/>
        <s v="ScrapSales"/>
        <s v="Resales"/>
      </sharedItems>
    </cacheField>
    <cacheField name="LocationType" numFmtId="0">
      <sharedItems count="2">
        <s v="CJ"/>
        <s v="OEM"/>
      </sharedItems>
    </cacheField>
    <cacheField name="LossChange" numFmtId="0" formula="'Actual Loss'-'Estimated Los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34">
  <r>
    <x v="0"/>
    <x v="0"/>
    <n v="44202"/>
    <x v="0"/>
    <x v="0"/>
    <x v="0"/>
    <x v="0"/>
    <x v="0"/>
    <s v="Chả Giò Hoa Mai Da Xốp Nhân Thịt - Gói 500G"/>
    <s v="Gói"/>
    <n v="460"/>
    <n v="230"/>
    <d v="1899-12-30T12:00:00"/>
    <n v="44303"/>
    <s v="Low sales"/>
    <n v="18011806"/>
    <x v="0"/>
    <n v="459"/>
    <n v="17972649.899999999"/>
    <x v="0"/>
    <x v="0"/>
  </r>
  <r>
    <x v="0"/>
    <x v="0"/>
    <n v="44202"/>
    <x v="1"/>
    <x v="0"/>
    <x v="1"/>
    <x v="0"/>
    <x v="1"/>
    <s v="햇반 흑미밥 210G 3번들HETBAHN) Cơm gạo nếp than ăn liền"/>
    <s v="Lốc"/>
    <n v="36"/>
    <n v="22.68"/>
    <d v="1899-12-30T15:07:12"/>
    <n v="44278"/>
    <s v="Sales lower than Forecast"/>
    <n v="1219750.98046875"/>
    <x v="0"/>
    <n v="0"/>
    <n v="0"/>
    <x v="0"/>
    <x v="0"/>
  </r>
  <r>
    <x v="0"/>
    <x v="0"/>
    <n v="44202"/>
    <x v="1"/>
    <x v="0"/>
    <x v="1"/>
    <x v="0"/>
    <x v="2"/>
    <s v="E)햇반컵반 사골곰탕국밥 166G/상온Cơm hộp ăn liền - súp xương bò"/>
    <s v="Gói"/>
    <n v="36"/>
    <n v="5.976"/>
    <d v="1899-12-30T03:59:02"/>
    <n v="44276"/>
    <s v="Sales lower than Forecast"/>
    <n v="717304.5"/>
    <x v="0"/>
    <n v="36"/>
    <n v="717304.5"/>
    <x v="0"/>
    <x v="0"/>
  </r>
  <r>
    <x v="0"/>
    <x v="0"/>
    <n v="44202"/>
    <x v="2"/>
    <x v="0"/>
    <x v="2"/>
    <x v="0"/>
    <x v="3"/>
    <s v="이너비Nước uống Collagen Innerb Glowshot ((50ML*12)*8EA/CT)"/>
    <s v="Lốc"/>
    <n v="223"/>
    <n v="133.79999999999998"/>
    <d v="1899-12-30T14:24:00"/>
    <n v="44308"/>
    <s v="DeMKT/ Failed Innovation/ Promotion"/>
    <n v="73557888"/>
    <x v="0"/>
    <n v="223"/>
    <n v="73557888"/>
    <x v="0"/>
    <x v="0"/>
  </r>
  <r>
    <x v="0"/>
    <x v="0"/>
    <n v="44202"/>
    <x v="0"/>
    <x v="0"/>
    <x v="3"/>
    <x v="0"/>
    <x v="4"/>
    <s v="Há Cảo Chay - Gói 500G"/>
    <s v="Gói"/>
    <n v="1917"/>
    <n v="958.5"/>
    <d v="1899-12-30T12:00:00"/>
    <n v="44301"/>
    <s v="Low sales"/>
    <n v="34364621.25"/>
    <x v="0"/>
    <n v="1601"/>
    <n v="28699926.25"/>
    <x v="0"/>
    <x v="0"/>
  </r>
  <r>
    <x v="0"/>
    <x v="0"/>
    <n v="44202"/>
    <x v="3"/>
    <x v="0"/>
    <x v="4"/>
    <x v="1"/>
    <x v="5"/>
    <s v="Bibigo Kimchi cải thảo cây 1kg"/>
    <s v="Túi"/>
    <n v="24"/>
    <n v="24"/>
    <d v="1899-12-31T00:00:00"/>
    <n v="44240"/>
    <s v="Low sales"/>
    <n v="566742.48"/>
    <x v="0"/>
    <n v="0"/>
    <n v="0"/>
    <x v="0"/>
    <x v="0"/>
  </r>
  <r>
    <x v="0"/>
    <x v="0"/>
    <n v="44202"/>
    <x v="3"/>
    <x v="0"/>
    <x v="4"/>
    <x v="1"/>
    <x v="5"/>
    <s v="Bibigo Kimchi cải thảo cây 1kg"/>
    <s v="Túi"/>
    <n v="396"/>
    <n v="396"/>
    <d v="1899-12-31T00:00:00"/>
    <n v="44246"/>
    <s v="Low sales"/>
    <n v="9351250.9199999999"/>
    <x v="0"/>
    <n v="0"/>
    <n v="0"/>
    <x v="0"/>
    <x v="0"/>
  </r>
  <r>
    <x v="0"/>
    <x v="0"/>
    <n v="44202"/>
    <x v="3"/>
    <x v="0"/>
    <x v="4"/>
    <x v="1"/>
    <x v="5"/>
    <s v="Bibigo Kimchi cải thảo cây 1kg"/>
    <s v="Túi"/>
    <n v="72"/>
    <n v="72"/>
    <d v="1899-12-31T00:00:00"/>
    <n v="44246"/>
    <s v="Low sales"/>
    <n v="1700227.44"/>
    <x v="0"/>
    <n v="0"/>
    <n v="0"/>
    <x v="0"/>
    <x v="0"/>
  </r>
  <r>
    <x v="0"/>
    <x v="0"/>
    <n v="44202"/>
    <x v="4"/>
    <x v="0"/>
    <x v="5"/>
    <x v="1"/>
    <x v="6"/>
    <s v="Tương đậu truyền thống 3KG"/>
    <s v="Hộp"/>
    <n v="36"/>
    <n v="108"/>
    <d v="1900-01-02T00:00:00"/>
    <n v="44292"/>
    <s v="Low sales"/>
    <n v="2404875.4054054054"/>
    <x v="0"/>
    <n v="0"/>
    <n v="0"/>
    <x v="0"/>
    <x v="0"/>
  </r>
  <r>
    <x v="0"/>
    <x v="0"/>
    <n v="44202"/>
    <x v="2"/>
    <x v="0"/>
    <x v="2"/>
    <x v="1"/>
    <x v="7"/>
    <s v="Nước Uống Collagen Innerb Glowshot ((50ML*6EA)*10EA/CT)"/>
    <s v="Hộp"/>
    <n v="7"/>
    <n v="2.1"/>
    <d v="1899-12-30T07:12:00"/>
    <n v="44308"/>
    <s v="Low sales"/>
    <n v="567600.76041666674"/>
    <x v="0"/>
    <n v="0"/>
    <n v="0"/>
    <x v="0"/>
    <x v="0"/>
  </r>
  <r>
    <x v="0"/>
    <x v="0"/>
    <n v="44202"/>
    <x v="2"/>
    <x v="0"/>
    <x v="2"/>
    <x v="1"/>
    <x v="8"/>
    <s v="Thực Phẩm Bảo Vệ Sức Khỏe INNERB AQUA RICH (28G*20EA/CT)"/>
    <s v="Hộp"/>
    <n v="7"/>
    <n v="0.19600000000000001"/>
    <d v="1899-12-30T00:40:19"/>
    <n v="44332"/>
    <s v="Low sales"/>
    <n v="953400.19530000002"/>
    <x v="0"/>
    <n v="0"/>
    <n v="0"/>
    <x v="0"/>
    <x v="0"/>
  </r>
  <r>
    <x v="0"/>
    <x v="0"/>
    <n v="44202"/>
    <x v="5"/>
    <x v="0"/>
    <x v="6"/>
    <x v="1"/>
    <x v="9"/>
    <s v="Chả Lụa Quết Thượng Hạng 500G (mát)"/>
    <s v="Gói"/>
    <n v="12"/>
    <n v="6"/>
    <d v="1899-12-30T12:00:00"/>
    <n v="44205"/>
    <s v="Low sales"/>
    <n v="798468"/>
    <x v="0"/>
    <n v="0"/>
    <n v="0"/>
    <x v="0"/>
    <x v="0"/>
  </r>
  <r>
    <x v="0"/>
    <x v="0"/>
    <n v="44202"/>
    <x v="2"/>
    <x v="0"/>
    <x v="7"/>
    <x v="1"/>
    <x v="10"/>
    <s v="Trà Oolong Túi Lọc thường – Hộp 25 gói"/>
    <s v="Hộp"/>
    <n v="1002"/>
    <n v="50.1"/>
    <d v="1899-12-30T01:12:00"/>
    <n v="44371"/>
    <s v="Low sales"/>
    <n v="8970718.125"/>
    <x v="0"/>
    <n v="0"/>
    <n v="0"/>
    <x v="0"/>
    <x v="0"/>
  </r>
  <r>
    <x v="0"/>
    <x v="0"/>
    <n v="44218"/>
    <x v="6"/>
    <x v="0"/>
    <x v="8"/>
    <x v="0"/>
    <x v="11"/>
    <s v="Snack rong biển nướng Bibigo vị Kimchi 10gr"/>
    <s v="Túi"/>
    <n v="92"/>
    <n v="0.92"/>
    <d v="1899-12-30T00:14:24"/>
    <n v="44259"/>
    <s v="Low sales"/>
    <n v="1069827.1151999999"/>
    <x v="0"/>
    <n v="55"/>
    <n v="639570.55799999984"/>
    <x v="0"/>
    <x v="0"/>
  </r>
  <r>
    <x v="0"/>
    <x v="0"/>
    <n v="44218"/>
    <x v="1"/>
    <x v="0"/>
    <x v="1"/>
    <x v="0"/>
    <x v="12"/>
    <s v="E)햇반 컵반 황태국밥 170G/상온Cơm hộp ăn liền - súp cá hwangtea"/>
    <s v="Hộp"/>
    <n v="36"/>
    <n v="6.12"/>
    <d v="1899-12-30T04:04:48"/>
    <n v="44298"/>
    <s v="Low sales"/>
    <n v="714261"/>
    <x v="0"/>
    <n v="0"/>
    <n v="0"/>
    <x v="0"/>
    <x v="0"/>
  </r>
  <r>
    <x v="0"/>
    <x v="0"/>
    <n v="44218"/>
    <x v="4"/>
    <x v="0"/>
    <x v="9"/>
    <x v="0"/>
    <x v="13"/>
    <s v="쇠고기 다시다 1KG (수출용)DASIDA )Hạt nêm vị bò (E)"/>
    <s v="Gói"/>
    <n v="1515"/>
    <n v="1515"/>
    <d v="1899-12-31T00:00:00"/>
    <n v="44370"/>
    <s v="Sales lower than Forecast"/>
    <n v="90672118.547999993"/>
    <x v="0"/>
    <n v="511"/>
    <n v="30583137.015199997"/>
    <x v="0"/>
    <x v="0"/>
  </r>
  <r>
    <x v="0"/>
    <x v="0"/>
    <n v="44218"/>
    <x v="5"/>
    <x v="0"/>
    <x v="10"/>
    <x v="0"/>
    <x v="14"/>
    <s v="OHYA Tokboki chả cá- Xốt Tok Tok Sa Tế Tôm 180g"/>
    <s v="Khay"/>
    <n v="142"/>
    <n v="25.56"/>
    <d v="1899-12-30T04:19:12"/>
    <n v="44322"/>
    <s v="Low sales"/>
    <n v="1931484"/>
    <x v="0"/>
    <n v="142"/>
    <n v="1931484"/>
    <x v="0"/>
    <x v="0"/>
  </r>
  <r>
    <x v="0"/>
    <x v="0"/>
    <n v="44218"/>
    <x v="5"/>
    <x v="0"/>
    <x v="11"/>
    <x v="1"/>
    <x v="15"/>
    <s v="Chả cá quết - Chả cá dây kiểu Vũng Tàu 230gr"/>
    <s v="Gói"/>
    <n v="340"/>
    <n v="78.2"/>
    <d v="1899-12-30T05:31:12"/>
    <n v="44230"/>
    <s v="Low sales"/>
    <n v="4858736.2039999999"/>
    <x v="0"/>
    <n v="0"/>
    <n v="0"/>
    <x v="0"/>
    <x v="0"/>
  </r>
  <r>
    <x v="0"/>
    <x v="1"/>
    <n v="44228"/>
    <x v="6"/>
    <x v="0"/>
    <x v="8"/>
    <x v="0"/>
    <x v="16"/>
    <s v="Snack rong biển nướng Bibigo vị truyền thống 10gr"/>
    <s v="Túi"/>
    <n v="7"/>
    <n v="7.0000000000000007E-2"/>
    <d v="1899-12-30T00:14:24"/>
    <n v="44302"/>
    <s v="Low sales"/>
    <n v="75491.094700000001"/>
    <x v="0"/>
    <n v="7"/>
    <n v="75491.094700000001"/>
    <x v="0"/>
    <x v="0"/>
  </r>
  <r>
    <x v="0"/>
    <x v="1"/>
    <n v="44228"/>
    <x v="6"/>
    <x v="0"/>
    <x v="8"/>
    <x v="0"/>
    <x v="17"/>
    <s v="Snack rong biển nướng Bibigo vị BBQ 10gr"/>
    <s v="Túi"/>
    <n v="3"/>
    <n v="0.03"/>
    <d v="1899-12-30T00:14:24"/>
    <n v="44293"/>
    <s v="Low sales"/>
    <n v="26859"/>
    <x v="0"/>
    <n v="3"/>
    <n v="26859"/>
    <x v="0"/>
    <x v="0"/>
  </r>
  <r>
    <x v="0"/>
    <x v="1"/>
    <n v="44228"/>
    <x v="3"/>
    <x v="0"/>
    <x v="12"/>
    <x v="0"/>
    <x v="18"/>
    <s v="Kim chi cải thảo cắt lát Ông Kim's 300g"/>
    <s v="Hộp"/>
    <n v="5"/>
    <n v="1.5"/>
    <d v="1899-12-30T07:12:00"/>
    <n v="44247"/>
    <s v="Low sales"/>
    <n v="44650.600000000006"/>
    <x v="0"/>
    <n v="0"/>
    <n v="0"/>
    <x v="0"/>
    <x v="0"/>
  </r>
  <r>
    <x v="0"/>
    <x v="1"/>
    <n v="44228"/>
    <x v="3"/>
    <x v="0"/>
    <x v="12"/>
    <x v="0"/>
    <x v="18"/>
    <s v="Kim chi cải thảo cắt lát Ông Kim's 300g"/>
    <s v="Hộp"/>
    <n v="1"/>
    <n v="0.3"/>
    <d v="1899-12-30T07:12:00"/>
    <n v="44262"/>
    <s v="Low sales"/>
    <n v="8930.1200000000008"/>
    <x v="0"/>
    <n v="0"/>
    <n v="0"/>
    <x v="0"/>
    <x v="0"/>
  </r>
  <r>
    <x v="0"/>
    <x v="1"/>
    <n v="44228"/>
    <x v="7"/>
    <x v="0"/>
    <x v="13"/>
    <x v="0"/>
    <x v="19"/>
    <s v="튀김가루 500GBEKSUL) Bột chiên"/>
    <s v="EA"/>
    <n v="120"/>
    <n v="60"/>
    <d v="1899-12-30T12:00:00"/>
    <n v="44355"/>
    <s v="Low sales"/>
    <n v="1245958.9189189188"/>
    <x v="0"/>
    <n v="0"/>
    <n v="0"/>
    <x v="0"/>
    <x v="0"/>
  </r>
  <r>
    <x v="0"/>
    <x v="1"/>
    <n v="44228"/>
    <x v="7"/>
    <x v="0"/>
    <x v="13"/>
    <x v="0"/>
    <x v="20"/>
    <s v="튀김가루 1KGBEKSUL) Bột chiên"/>
    <s v="EA"/>
    <n v="29"/>
    <n v="29"/>
    <d v="1899-12-31T00:00:00"/>
    <n v="44348"/>
    <s v="Low sales"/>
    <n v="549324.81209999998"/>
    <x v="0"/>
    <n v="0"/>
    <n v="0"/>
    <x v="0"/>
    <x v="0"/>
  </r>
  <r>
    <x v="0"/>
    <x v="1"/>
    <n v="44228"/>
    <x v="1"/>
    <x v="0"/>
    <x v="1"/>
    <x v="0"/>
    <x v="12"/>
    <s v="E)햇반 컵반 황태국밥 170G/상온Cơm hộp ăn liền - súp cá hwangtea"/>
    <s v="EA"/>
    <n v="36"/>
    <n v="6.12"/>
    <d v="1899-12-30T04:04:48"/>
    <n v="44313"/>
    <s v="Low sales"/>
    <n v="714261"/>
    <x v="0"/>
    <n v="10"/>
    <n v="198405.83333333331"/>
    <x v="0"/>
    <x v="0"/>
  </r>
  <r>
    <x v="0"/>
    <x v="1"/>
    <n v="44228"/>
    <x v="4"/>
    <x v="0"/>
    <x v="5"/>
    <x v="0"/>
    <x v="21"/>
    <s v="E)백설남해굴소스 210G/상온Dầu hàu Namhea"/>
    <s v="EA"/>
    <n v="27"/>
    <n v="5.67"/>
    <d v="1899-12-30T05:02:24"/>
    <n v="44330"/>
    <s v="Low sales"/>
    <n v="708339.90909090906"/>
    <x v="0"/>
    <n v="27"/>
    <n v="708339.90909090906"/>
    <x v="0"/>
    <x v="0"/>
  </r>
  <r>
    <x v="0"/>
    <x v="1"/>
    <n v="44228"/>
    <x v="4"/>
    <x v="0"/>
    <x v="9"/>
    <x v="0"/>
    <x v="22"/>
    <s v="쇠고기 다시다 명품골드100G (수출용)DASIDA) Hạt nêm vị bò Gold (Premium)"/>
    <s v="EA"/>
    <n v="80"/>
    <n v="8"/>
    <d v="1899-12-30T02:24:00"/>
    <n v="44406"/>
    <s v="Low sales"/>
    <n v="648016.62337662326"/>
    <x v="0"/>
    <n v="6"/>
    <n v="48601.246753246742"/>
    <x v="0"/>
    <x v="0"/>
  </r>
  <r>
    <x v="0"/>
    <x v="1"/>
    <n v="44228"/>
    <x v="4"/>
    <x v="0"/>
    <x v="14"/>
    <x v="0"/>
    <x v="23"/>
    <s v="사계절쌈장 170GTương chấm ăn liền 170g"/>
    <s v="EA"/>
    <n v="176"/>
    <n v="29.92"/>
    <d v="1899-12-30T04:04:48"/>
    <n v="44352"/>
    <s v="Low sales"/>
    <n v="1097911.1087999998"/>
    <x v="0"/>
    <n v="176"/>
    <n v="1097911.1087999998"/>
    <x v="0"/>
    <x v="0"/>
  </r>
  <r>
    <x v="0"/>
    <x v="1"/>
    <n v="44228"/>
    <x v="2"/>
    <x v="0"/>
    <x v="15"/>
    <x v="0"/>
    <x v="24"/>
    <s v="쁘띠첼 미초 석류(희석식) 900mLNước trái cây đậm đặc lên men tự nhiên Micho lựu 900ml"/>
    <s v="EA"/>
    <n v="139"/>
    <n v="125.1"/>
    <d v="1899-12-30T21:36:00"/>
    <n v="44344"/>
    <s v="Sales lower than Forecast"/>
    <n v="5658833.3802521005"/>
    <x v="0"/>
    <n v="139"/>
    <n v="5658833.3802521005"/>
    <x v="0"/>
    <x v="0"/>
  </r>
  <r>
    <x v="0"/>
    <x v="1"/>
    <n v="44228"/>
    <x v="4"/>
    <x v="0"/>
    <x v="5"/>
    <x v="0"/>
    <x v="25"/>
    <s v="돼지갈비양념장 500GBEKSUL) Xốt ướp sườn heo"/>
    <s v="EA"/>
    <n v="7"/>
    <n v="3.5"/>
    <d v="1899-12-30T12:00:00"/>
    <n v="44389"/>
    <s v="Low sales"/>
    <n v="143273.66690000001"/>
    <x v="0"/>
    <n v="7"/>
    <n v="143273.66690000001"/>
    <x v="0"/>
    <x v="0"/>
  </r>
  <r>
    <x v="0"/>
    <x v="1"/>
    <n v="44228"/>
    <x v="5"/>
    <x v="0"/>
    <x v="11"/>
    <x v="0"/>
    <x v="26"/>
    <s v="Chả cá viên 500g"/>
    <s v="Gói"/>
    <n v="44"/>
    <n v="22"/>
    <d v="1899-12-30T12:00:00"/>
    <n v="44250"/>
    <s v="Customers returned"/>
    <n v="1021064"/>
    <x v="0"/>
    <n v="0"/>
    <n v="0"/>
    <x v="0"/>
    <x v="0"/>
  </r>
  <r>
    <x v="0"/>
    <x v="1"/>
    <n v="44228"/>
    <x v="5"/>
    <x v="0"/>
    <x v="11"/>
    <x v="0"/>
    <x v="26"/>
    <s v="Chả cá viên 500g"/>
    <s v="Gói"/>
    <n v="103"/>
    <n v="51.5"/>
    <d v="1899-12-30T12:00:00"/>
    <n v="44261"/>
    <s v="Customers returned"/>
    <n v="2390218"/>
    <x v="0"/>
    <n v="63"/>
    <n v="1461978"/>
    <x v="0"/>
    <x v="0"/>
  </r>
  <r>
    <x v="0"/>
    <x v="1"/>
    <n v="44228"/>
    <x v="5"/>
    <x v="0"/>
    <x v="10"/>
    <x v="0"/>
    <x v="14"/>
    <s v="OHYA Tokboki chả cá- Xốt Tok Tok Sa Tế Tôm 180g"/>
    <s v="Khay"/>
    <n v="95"/>
    <n v="17.099999999999998"/>
    <d v="1899-12-30T04:19:12"/>
    <n v="44350"/>
    <s v="Low sales"/>
    <n v="1292190"/>
    <x v="0"/>
    <n v="15"/>
    <n v="204030"/>
    <x v="0"/>
    <x v="0"/>
  </r>
  <r>
    <x v="0"/>
    <x v="1"/>
    <n v="44228"/>
    <x v="5"/>
    <x v="0"/>
    <x v="16"/>
    <x v="0"/>
    <x v="27"/>
    <s v="Bò viên ngon Cầu Tre 500gr"/>
    <s v="Gói"/>
    <n v="32"/>
    <n v="16"/>
    <d v="1899-12-30T12:00:00"/>
    <n v="44340"/>
    <s v="Lỗi long chân không"/>
    <n v="959136"/>
    <x v="0"/>
    <n v="32"/>
    <n v="959136"/>
    <x v="0"/>
    <x v="0"/>
  </r>
  <r>
    <x v="0"/>
    <x v="1"/>
    <n v="44228"/>
    <x v="6"/>
    <x v="0"/>
    <x v="8"/>
    <x v="0"/>
    <x v="28"/>
    <s v="Snack Rong biển Bibigo vị Bắp mật Ong 25gr"/>
    <s v="Gói"/>
    <n v="50"/>
    <n v="1.25"/>
    <d v="1899-12-30T00:36:00"/>
    <n v="44291"/>
    <s v="Low sales"/>
    <n v="280400"/>
    <x v="0"/>
    <n v="50"/>
    <n v="280400"/>
    <x v="0"/>
    <x v="0"/>
  </r>
  <r>
    <x v="0"/>
    <x v="1"/>
    <n v="44228"/>
    <x v="6"/>
    <x v="0"/>
    <x v="8"/>
    <x v="0"/>
    <x v="29"/>
    <s v="Snack Rong biển Bibigo vị Kim chi 25gr"/>
    <s v="Gói"/>
    <n v="1"/>
    <n v="2.5000000000000001E-2"/>
    <d v="1899-12-30T00:36:00"/>
    <n v="44290"/>
    <s v="Low sales"/>
    <n v="4528.7714285714283"/>
    <x v="0"/>
    <n v="1"/>
    <n v="4528.7714285714283"/>
    <x v="0"/>
    <x v="0"/>
  </r>
  <r>
    <x v="0"/>
    <x v="1"/>
    <n v="44228"/>
    <x v="3"/>
    <x v="0"/>
    <x v="12"/>
    <x v="1"/>
    <x v="30"/>
    <s v="bibigo Kimchi cải thảo cắt lát 500gr"/>
    <s v="Hộp"/>
    <n v="4694"/>
    <n v="2347"/>
    <d v="1899-12-30T12:00:00"/>
    <n v="44246"/>
    <s v="Low sales"/>
    <n v="74263279.894736871"/>
    <x v="0"/>
    <n v="0"/>
    <n v="0"/>
    <x v="0"/>
    <x v="0"/>
  </r>
  <r>
    <x v="0"/>
    <x v="1"/>
    <n v="44228"/>
    <x v="3"/>
    <x v="0"/>
    <x v="12"/>
    <x v="1"/>
    <x v="31"/>
    <s v="bibigo Kimchi cải thảo - ngò 100gr"/>
    <s v="Túi"/>
    <n v="1096"/>
    <n v="109.6"/>
    <d v="1899-12-30T02:24:00"/>
    <n v="44253"/>
    <s v="Low sales"/>
    <n v="3749122.4285714286"/>
    <x v="0"/>
    <n v="0"/>
    <n v="0"/>
    <x v="0"/>
    <x v="0"/>
  </r>
  <r>
    <x v="0"/>
    <x v="1"/>
    <n v="44228"/>
    <x v="3"/>
    <x v="0"/>
    <x v="12"/>
    <x v="1"/>
    <x v="18"/>
    <s v="Kim chi cải thảo cắt lát Ông Kim's 300g"/>
    <s v="Hộp"/>
    <n v="1825"/>
    <n v="547.5"/>
    <d v="1899-12-30T07:12:00"/>
    <n v="44247"/>
    <s v="Low sales"/>
    <n v="16297469.000000002"/>
    <x v="0"/>
    <n v="0"/>
    <n v="0"/>
    <x v="0"/>
    <x v="0"/>
  </r>
  <r>
    <x v="0"/>
    <x v="1"/>
    <n v="44228"/>
    <x v="2"/>
    <x v="0"/>
    <x v="2"/>
    <x v="1"/>
    <x v="7"/>
    <s v="Nước Uống Collagen Innerb Glowshot ((50ML*6EA)*10EA/CT)"/>
    <s v="Hộp"/>
    <n v="29"/>
    <n v="8.6999999999999993"/>
    <d v="1899-12-30T07:12:00"/>
    <n v="44341"/>
    <s v="Low sales"/>
    <n v="2119488.8645833335"/>
    <x v="0"/>
    <n v="0"/>
    <n v="0"/>
    <x v="0"/>
    <x v="0"/>
  </r>
  <r>
    <x v="0"/>
    <x v="1"/>
    <n v="44228"/>
    <x v="2"/>
    <x v="0"/>
    <x v="2"/>
    <x v="1"/>
    <x v="7"/>
    <s v="Nước Uống Collagen Innerb Glowshot ((50ML*6EA)*10EA/CT)"/>
    <s v="Hộp"/>
    <n v="23"/>
    <n v="6.8999999999999995"/>
    <d v="1899-12-30T07:12:00"/>
    <n v="44344"/>
    <s v="Low sales"/>
    <n v="1680973.9270833335"/>
    <x v="0"/>
    <n v="0"/>
    <n v="0"/>
    <x v="0"/>
    <x v="0"/>
  </r>
  <r>
    <x v="0"/>
    <x v="1"/>
    <n v="44228"/>
    <x v="2"/>
    <x v="0"/>
    <x v="2"/>
    <x v="1"/>
    <x v="7"/>
    <s v="Nước Uống Collagen Innerb Glowshot ((50ML*6EA)*10EA/CT)"/>
    <s v="Hộp"/>
    <n v="79"/>
    <n v="23.7"/>
    <d v="1899-12-30T07:12:00"/>
    <n v="44357"/>
    <s v="Low sales"/>
    <n v="5773780.010416667"/>
    <x v="0"/>
    <n v="0"/>
    <n v="0"/>
    <x v="0"/>
    <x v="0"/>
  </r>
  <r>
    <x v="0"/>
    <x v="1"/>
    <n v="44228"/>
    <x v="5"/>
    <x v="0"/>
    <x v="11"/>
    <x v="1"/>
    <x v="32"/>
    <s v="Chả Lụa Quết Mini - gói 200g"/>
    <s v="GOI"/>
    <n v="510"/>
    <n v="102"/>
    <d v="1899-12-30T04:48:00"/>
    <n v="44255"/>
    <s v="Customers returned"/>
    <n v="6930680.7000000002"/>
    <x v="0"/>
    <n v="0"/>
    <n v="0"/>
    <x v="0"/>
    <x v="0"/>
  </r>
  <r>
    <x v="0"/>
    <x v="1"/>
    <n v="44228"/>
    <x v="5"/>
    <x v="0"/>
    <x v="11"/>
    <x v="1"/>
    <x v="26"/>
    <s v="Chả cá viên 500g"/>
    <s v="TUI"/>
    <n v="17"/>
    <n v="8.5"/>
    <d v="1899-12-30T12:00:00"/>
    <n v="44247"/>
    <s v="Customers returned"/>
    <n v="394502"/>
    <x v="0"/>
    <n v="0"/>
    <n v="0"/>
    <x v="0"/>
    <x v="0"/>
  </r>
  <r>
    <x v="0"/>
    <x v="1"/>
    <n v="44228"/>
    <x v="5"/>
    <x v="0"/>
    <x v="11"/>
    <x v="1"/>
    <x v="26"/>
    <s v="Chả cá viên 500g"/>
    <s v="TUI"/>
    <n v="65"/>
    <n v="32.5"/>
    <d v="1899-12-30T12:00:00"/>
    <n v="44254"/>
    <s v="Customers returned"/>
    <n v="1508390"/>
    <x v="0"/>
    <n v="0"/>
    <n v="0"/>
    <x v="0"/>
    <x v="0"/>
  </r>
  <r>
    <x v="0"/>
    <x v="1"/>
    <n v="44228"/>
    <x v="5"/>
    <x v="0"/>
    <x v="6"/>
    <x v="1"/>
    <x v="33"/>
    <s v="Chả lụa nhất phẩm 200g"/>
    <s v="Cây"/>
    <n v="3930"/>
    <n v="786"/>
    <d v="1899-12-30T04:48:00"/>
    <n v="44270"/>
    <s v="Low sales"/>
    <n v="39182100"/>
    <x v="0"/>
    <n v="1002"/>
    <n v="9989940"/>
    <x v="0"/>
    <x v="0"/>
  </r>
  <r>
    <x v="0"/>
    <x v="1"/>
    <n v="44250"/>
    <x v="0"/>
    <x v="0"/>
    <x v="3"/>
    <x v="1"/>
    <x v="34"/>
    <s v="Bánh Xếp Cải Bó Xôi Mini 15G - Gói 1,0kg (Dai Jin)"/>
    <s v="Gói"/>
    <n v="500"/>
    <n v="500"/>
    <d v="1899-12-31T00:00:00"/>
    <n v="44650"/>
    <s v="Low sales"/>
    <n v="25972572.999999996"/>
    <x v="0"/>
    <n v="497"/>
    <n v="25816737.561999995"/>
    <x v="0"/>
    <x v="0"/>
  </r>
  <r>
    <x v="0"/>
    <x v="1"/>
    <n v="44250"/>
    <x v="0"/>
    <x v="0"/>
    <x v="3"/>
    <x v="1"/>
    <x v="35"/>
    <s v="Xíu mại xôi nấm 25g/cái  - Gói 500G , thùng 10 kgs (Dai Jin), 20 gói"/>
    <s v="Gói"/>
    <n v="1000"/>
    <n v="500"/>
    <d v="1899-12-30T12:00:00"/>
    <n v="44680"/>
    <s v="Low sales"/>
    <n v="23926955"/>
    <x v="0"/>
    <n v="997"/>
    <n v="23855174.135000002"/>
    <x v="0"/>
    <x v="0"/>
  </r>
  <r>
    <x v="0"/>
    <x v="1"/>
    <n v="44250"/>
    <x v="7"/>
    <x v="0"/>
    <x v="5"/>
    <x v="1"/>
    <x v="36"/>
    <s v="Nước sốt Dimsum - Hũ 20g, 100 hũ/thùng."/>
    <s v="Hũ"/>
    <n v="22500"/>
    <n v="450"/>
    <d v="1899-12-30T00:28:48"/>
    <n v="44625"/>
    <s v="Low sales"/>
    <n v="15836373"/>
    <x v="0"/>
    <n v="438"/>
    <n v="308281.39439999999"/>
    <x v="0"/>
    <x v="0"/>
  </r>
  <r>
    <x v="0"/>
    <x v="1"/>
    <n v="44250"/>
    <x v="0"/>
    <x v="0"/>
    <x v="3"/>
    <x v="1"/>
    <x v="37"/>
    <s v="Xíu mại 25g - Gói 500g, 20gói/thùng, 10kg/thùng (KAG)"/>
    <s v="Gói"/>
    <n v="1000"/>
    <n v="500"/>
    <d v="1899-12-30T12:00:00"/>
    <n v="44531"/>
    <s v="Low sales"/>
    <n v="41369947.80701755"/>
    <x v="0"/>
    <n v="1000"/>
    <n v="41369947.80701755"/>
    <x v="0"/>
    <x v="0"/>
  </r>
  <r>
    <x v="0"/>
    <x v="1"/>
    <n v="44250"/>
    <x v="0"/>
    <x v="0"/>
    <x v="3"/>
    <x v="1"/>
    <x v="37"/>
    <s v="Xíu mại 25g - Gói 500g, 20gói/thùng, 10kg/thùng (KAG)"/>
    <s v="Gói"/>
    <n v="1280"/>
    <n v="640"/>
    <d v="1899-12-30T12:00:00"/>
    <n v="44593"/>
    <s v="Low sales"/>
    <n v="52953533.192982458"/>
    <x v="0"/>
    <n v="1274"/>
    <n v="52705313.506140351"/>
    <x v="0"/>
    <x v="0"/>
  </r>
  <r>
    <x v="0"/>
    <x v="1"/>
    <n v="44250"/>
    <x v="0"/>
    <x v="0"/>
    <x v="0"/>
    <x v="1"/>
    <x v="38"/>
    <s v="Chả Giò Pastry chay 25gr/cái, 40 cái/1kg/gói , 5gói/5kg/thùng"/>
    <s v="Gói"/>
    <n v="846"/>
    <n v="846"/>
    <d v="1899-12-31T00:00:00"/>
    <n v="44540"/>
    <s v="Low sales"/>
    <n v="38635958"/>
    <x v="0"/>
    <n v="0"/>
    <n v="0"/>
    <x v="0"/>
    <x v="0"/>
  </r>
  <r>
    <x v="0"/>
    <x v="1"/>
    <n v="44250"/>
    <x v="0"/>
    <x v="0"/>
    <x v="0"/>
    <x v="1"/>
    <x v="38"/>
    <s v="Chả Giò Pastry chay 25gr/cái, 40 cái/1kg/gói , 5gói/5kg/thùng"/>
    <s v="Gói"/>
    <n v="259"/>
    <n v="259"/>
    <d v="1899-12-31T00:00:00"/>
    <n v="44550"/>
    <s v="Low sales"/>
    <n v="11828266.101654846"/>
    <x v="0"/>
    <n v="259"/>
    <n v="11828266.101654846"/>
    <x v="0"/>
    <x v="0"/>
  </r>
  <r>
    <x v="0"/>
    <x v="1"/>
    <n v="44250"/>
    <x v="2"/>
    <x v="0"/>
    <x v="7"/>
    <x v="1"/>
    <x v="10"/>
    <s v="Trà Oolong Túi Lọc thường – Hộp 25 gói"/>
    <s v="Hộp"/>
    <n v="2036"/>
    <n v="101.8"/>
    <d v="1899-12-30T01:12:00"/>
    <n v="44664"/>
    <s v="Low sales"/>
    <n v="26536328.16"/>
    <x v="0"/>
    <n v="2036"/>
    <n v="26536328.16"/>
    <x v="0"/>
    <x v="0"/>
  </r>
  <r>
    <x v="0"/>
    <x v="1"/>
    <n v="44250"/>
    <x v="5"/>
    <x v="0"/>
    <x v="16"/>
    <x v="2"/>
    <x v="39"/>
    <s v="Hương vị bò viên 200g 160 viên/kg"/>
    <s v="Kg"/>
    <n v="122"/>
    <n v="122"/>
    <d v="1899-12-31T00:00:00"/>
    <n v="44258"/>
    <s v="Low sales"/>
    <n v="4715469.2505999999"/>
    <x v="0"/>
    <n v="0"/>
    <n v="0"/>
    <x v="0"/>
    <x v="0"/>
  </r>
  <r>
    <x v="0"/>
    <x v="1"/>
    <n v="44250"/>
    <x v="5"/>
    <x v="0"/>
    <x v="16"/>
    <x v="2"/>
    <x v="40"/>
    <s v="Cá viên 200g 160 viên/kg"/>
    <s v="Kg"/>
    <n v="252"/>
    <n v="252"/>
    <d v="1899-12-31T00:00:00"/>
    <n v="44255"/>
    <s v="Low sales"/>
    <n v="10803686.5692"/>
    <x v="0"/>
    <n v="0"/>
    <n v="0"/>
    <x v="0"/>
    <x v="0"/>
  </r>
  <r>
    <x v="0"/>
    <x v="1"/>
    <n v="44250"/>
    <x v="3"/>
    <x v="0"/>
    <x v="12"/>
    <x v="2"/>
    <x v="41"/>
    <s v="bibigo Kimchi cải thảo chay 500gr"/>
    <s v="Hộp"/>
    <n v="8"/>
    <n v="4"/>
    <d v="1899-12-30T12:00:00"/>
    <n v="44269"/>
    <s v="Low sales"/>
    <n v="145575.4952"/>
    <x v="0"/>
    <n v="0"/>
    <n v="0"/>
    <x v="0"/>
    <x v="0"/>
  </r>
  <r>
    <x v="0"/>
    <x v="1"/>
    <n v="44250"/>
    <x v="3"/>
    <x v="0"/>
    <x v="12"/>
    <x v="2"/>
    <x v="18"/>
    <s v="Kim chi cải thảo cắt lát Ông Kim's 300g"/>
    <s v="Hộp"/>
    <n v="600"/>
    <n v="180"/>
    <d v="1899-12-30T07:12:00"/>
    <n v="44269"/>
    <s v="Low sales"/>
    <n v="6220283.6399999997"/>
    <x v="0"/>
    <n v="0"/>
    <n v="0"/>
    <x v="0"/>
    <x v="0"/>
  </r>
  <r>
    <x v="0"/>
    <x v="1"/>
    <n v="44250"/>
    <x v="3"/>
    <x v="0"/>
    <x v="12"/>
    <x v="2"/>
    <x v="18"/>
    <s v="Kim chi cải thảo cắt lát Ông Kim's 300g"/>
    <s v="Hộp"/>
    <n v="480"/>
    <n v="144"/>
    <d v="1899-12-30T07:12:00"/>
    <n v="44270"/>
    <s v="Low sales"/>
    <n v="4976226.9120000005"/>
    <x v="0"/>
    <n v="0"/>
    <n v="0"/>
    <x v="0"/>
    <x v="0"/>
  </r>
  <r>
    <x v="0"/>
    <x v="2"/>
    <n v="44257"/>
    <x v="3"/>
    <x v="0"/>
    <x v="4"/>
    <x v="0"/>
    <x v="42"/>
    <s v="Dưa cải Bibigo 200G"/>
    <s v="Gói"/>
    <n v="30"/>
    <n v="6"/>
    <d v="1899-12-30T04:48:00"/>
    <n v="44262"/>
    <s v="Low sales"/>
    <n v="155503.60800000001"/>
    <x v="0"/>
    <n v="30"/>
    <n v="155503.60800000001"/>
    <x v="0"/>
    <x v="0"/>
  </r>
  <r>
    <x v="0"/>
    <x v="2"/>
    <n v="44257"/>
    <x v="5"/>
    <x v="0"/>
    <x v="11"/>
    <x v="0"/>
    <x v="43"/>
    <s v="Chả cá quết- Chả cá kiểu Nha Trang 280G (mát)"/>
    <s v="Gói"/>
    <n v="34"/>
    <n v="9.5200000000000014"/>
    <d v="1899-12-30T06:43:12"/>
    <n v="44275"/>
    <s v="Customers returned"/>
    <n v="701250.799"/>
    <x v="0"/>
    <n v="3"/>
    <n v="61875.070500000002"/>
    <x v="0"/>
    <x v="0"/>
  </r>
  <r>
    <x v="0"/>
    <x v="2"/>
    <n v="44257"/>
    <x v="5"/>
    <x v="0"/>
    <x v="11"/>
    <x v="0"/>
    <x v="43"/>
    <s v="Chả cá quết- Chả cá kiểu Nha Trang 280G (mát)"/>
    <s v="Gói"/>
    <n v="101"/>
    <n v="28.28"/>
    <d v="1899-12-30T06:43:12"/>
    <n v="44277"/>
    <s v="Customers returned"/>
    <n v="2083127.3735"/>
    <x v="0"/>
    <n v="0"/>
    <n v="0"/>
    <x v="0"/>
    <x v="0"/>
  </r>
  <r>
    <x v="0"/>
    <x v="2"/>
    <n v="44257"/>
    <x v="4"/>
    <x v="0"/>
    <x v="5"/>
    <x v="0"/>
    <x v="44"/>
    <s v="E)백설/떡볶이양념150G/상온 (Renewal)BEKSUL) Xốt nấu tokboki"/>
    <s v="Gói"/>
    <n v="634"/>
    <n v="95.1"/>
    <d v="1899-12-30T03:36:00"/>
    <n v="44364"/>
    <s v="Sales under Forecast"/>
    <n v="6341688.0883999998"/>
    <x v="0"/>
    <n v="385"/>
    <n v="3851025.1009999998"/>
    <x v="0"/>
    <x v="0"/>
  </r>
  <r>
    <x v="0"/>
    <x v="2"/>
    <n v="44257"/>
    <x v="0"/>
    <x v="0"/>
    <x v="3"/>
    <x v="0"/>
    <x v="45"/>
    <s v="Bánh Bao nhân đậu đỏ 45g - Gói 540g"/>
    <s v="Gói"/>
    <n v="10"/>
    <n v="5.4"/>
    <d v="1899-12-30T12:57:36"/>
    <n v="44365"/>
    <s v="Low sales"/>
    <n v="318930"/>
    <x v="0"/>
    <n v="10"/>
    <n v="318930"/>
    <x v="0"/>
    <x v="0"/>
  </r>
  <r>
    <x v="0"/>
    <x v="2"/>
    <n v="44257"/>
    <x v="5"/>
    <x v="0"/>
    <x v="16"/>
    <x v="0"/>
    <x v="46"/>
    <s v="Cá viên ngon Cầu Tre 500gr"/>
    <s v="Gói"/>
    <n v="9"/>
    <n v="4.5"/>
    <d v="1899-12-30T12:00:00"/>
    <n v="44377"/>
    <s v="Packaging issues. QC confirmed internal sell"/>
    <n v="141470.91"/>
    <x v="0"/>
    <n v="9"/>
    <n v="141470.91"/>
    <x v="0"/>
    <x v="0"/>
  </r>
  <r>
    <x v="0"/>
    <x v="2"/>
    <n v="44257"/>
    <x v="5"/>
    <x v="0"/>
    <x v="16"/>
    <x v="0"/>
    <x v="46"/>
    <s v="Cá viên ngon Cầu Tre 500gr"/>
    <s v="Gói"/>
    <n v="5"/>
    <n v="2.5"/>
    <d v="1899-12-30T12:00:00"/>
    <n v="44377"/>
    <s v="Packaging issues. QC confirmed internal sell"/>
    <n v="78594.950000000012"/>
    <x v="0"/>
    <n v="5"/>
    <n v="78594.950000000012"/>
    <x v="0"/>
    <x v="0"/>
  </r>
  <r>
    <x v="0"/>
    <x v="2"/>
    <n v="44257"/>
    <x v="5"/>
    <x v="0"/>
    <x v="16"/>
    <x v="0"/>
    <x v="46"/>
    <s v="Cá viên ngon Cầu Tre 500gr"/>
    <s v="Gói"/>
    <n v="6"/>
    <n v="3"/>
    <d v="1899-12-30T12:00:00"/>
    <n v="44377"/>
    <s v="Packaging issues. QC confirmed internal sell"/>
    <n v="94313.94"/>
    <x v="0"/>
    <n v="6"/>
    <n v="94313.94"/>
    <x v="0"/>
    <x v="0"/>
  </r>
  <r>
    <x v="0"/>
    <x v="2"/>
    <n v="44257"/>
    <x v="5"/>
    <x v="0"/>
    <x v="16"/>
    <x v="0"/>
    <x v="46"/>
    <s v="Cá viên ngon Cầu Tre 500gr"/>
    <s v="Túi"/>
    <n v="10"/>
    <n v="5"/>
    <d v="1899-12-30T12:00:00"/>
    <n v="44469"/>
    <s v="Packaging issues. QC confirmed internal sell"/>
    <n v="157189.90000000002"/>
    <x v="0"/>
    <n v="10"/>
    <n v="157189.90000000002"/>
    <x v="0"/>
    <x v="0"/>
  </r>
  <r>
    <x v="0"/>
    <x v="2"/>
    <n v="44257"/>
    <x v="5"/>
    <x v="0"/>
    <x v="16"/>
    <x v="0"/>
    <x v="46"/>
    <s v="Cá viên ngon Cầu Tre 500gr"/>
    <s v="Gói"/>
    <n v="5"/>
    <n v="2.5"/>
    <d v="1899-12-30T12:00:00"/>
    <n v="44469"/>
    <s v="Packaging issues. QC confirmed internal sell"/>
    <n v="78594.950000000012"/>
    <x v="0"/>
    <n v="5"/>
    <n v="78594.950000000012"/>
    <x v="0"/>
    <x v="0"/>
  </r>
  <r>
    <x v="0"/>
    <x v="2"/>
    <n v="44257"/>
    <x v="5"/>
    <x v="0"/>
    <x v="16"/>
    <x v="0"/>
    <x v="46"/>
    <s v="Cá viên ngon Cầu Tre 500gr"/>
    <s v="Túi"/>
    <n v="4"/>
    <n v="2"/>
    <d v="1899-12-30T12:00:00"/>
    <n v="44469"/>
    <s v="Packaging issues. QC confirmed internal sell"/>
    <n v="62875.960000000006"/>
    <x v="0"/>
    <n v="4"/>
    <n v="62875.960000000006"/>
    <x v="0"/>
    <x v="0"/>
  </r>
  <r>
    <x v="0"/>
    <x v="2"/>
    <n v="44257"/>
    <x v="5"/>
    <x v="0"/>
    <x v="16"/>
    <x v="0"/>
    <x v="46"/>
    <s v="Cá viên ngon Cầu Tre 500gr"/>
    <s v="Gói"/>
    <n v="1"/>
    <n v="0.5"/>
    <d v="1899-12-30T12:00:00"/>
    <n v="44470"/>
    <s v="Packaging issues. QC confirmed internal sell"/>
    <n v="15718.990000000002"/>
    <x v="0"/>
    <n v="1"/>
    <n v="15718.990000000002"/>
    <x v="0"/>
    <x v="0"/>
  </r>
  <r>
    <x v="0"/>
    <x v="2"/>
    <n v="44257"/>
    <x v="5"/>
    <x v="0"/>
    <x v="16"/>
    <x v="0"/>
    <x v="46"/>
    <s v="Cá viên ngon Cầu Tre 500gr"/>
    <s v="Gói"/>
    <n v="4"/>
    <n v="2"/>
    <d v="1899-12-30T12:00:00"/>
    <n v="44480"/>
    <s v="Packaging issues. QC confirmed internal sell"/>
    <n v="62875.960000000006"/>
    <x v="0"/>
    <n v="4"/>
    <n v="62875.960000000006"/>
    <x v="0"/>
    <x v="0"/>
  </r>
  <r>
    <x v="0"/>
    <x v="2"/>
    <n v="44257"/>
    <x v="5"/>
    <x v="0"/>
    <x v="16"/>
    <x v="0"/>
    <x v="46"/>
    <s v="Cá viên ngon Cầu Tre 500gr"/>
    <s v="Gói"/>
    <n v="9"/>
    <n v="4.5"/>
    <d v="1899-12-30T12:00:00"/>
    <n v="44480"/>
    <s v="Packaging issues. QC confirmed internal sell"/>
    <n v="141470.91"/>
    <x v="0"/>
    <n v="9"/>
    <n v="141470.91"/>
    <x v="0"/>
    <x v="0"/>
  </r>
  <r>
    <x v="0"/>
    <x v="2"/>
    <n v="44257"/>
    <x v="5"/>
    <x v="0"/>
    <x v="16"/>
    <x v="0"/>
    <x v="46"/>
    <s v="Cá viên ngon Cầu Tre 500gr"/>
    <s v="Gói"/>
    <n v="1"/>
    <n v="0.5"/>
    <d v="1899-12-30T12:00:00"/>
    <n v="44480"/>
    <s v="Packaging issues. QC confirmed internal sell"/>
    <n v="15718.990000000002"/>
    <x v="0"/>
    <n v="1"/>
    <n v="15718.990000000002"/>
    <x v="0"/>
    <x v="0"/>
  </r>
  <r>
    <x v="0"/>
    <x v="2"/>
    <n v="44257"/>
    <x v="5"/>
    <x v="0"/>
    <x v="16"/>
    <x v="0"/>
    <x v="46"/>
    <s v="Cá viên ngon Cầu Tre 500gr"/>
    <s v="Túi"/>
    <n v="2"/>
    <n v="1"/>
    <d v="1899-12-30T12:00:00"/>
    <n v="44480"/>
    <s v="Packaging issues. QC confirmed internal sell"/>
    <n v="31437.980000000003"/>
    <x v="0"/>
    <n v="2"/>
    <n v="31437.980000000003"/>
    <x v="0"/>
    <x v="0"/>
  </r>
  <r>
    <x v="0"/>
    <x v="2"/>
    <n v="44257"/>
    <x v="5"/>
    <x v="0"/>
    <x v="16"/>
    <x v="0"/>
    <x v="46"/>
    <s v="Cá viên ngon Cầu Tre 500gr"/>
    <s v="Gói"/>
    <n v="1"/>
    <n v="0.5"/>
    <d v="1899-12-30T12:00:00"/>
    <n v="44564"/>
    <s v="Packaging issues. QC confirmed internal sell"/>
    <n v="15718.990000000002"/>
    <x v="0"/>
    <n v="1"/>
    <n v="15718.990000000002"/>
    <x v="0"/>
    <x v="0"/>
  </r>
  <r>
    <x v="0"/>
    <x v="2"/>
    <n v="44257"/>
    <x v="5"/>
    <x v="0"/>
    <x v="16"/>
    <x v="0"/>
    <x v="46"/>
    <s v="Cá viên ngon Cầu Tre 500gr"/>
    <s v="Gói"/>
    <n v="30"/>
    <n v="15"/>
    <d v="1899-12-30T12:00:00"/>
    <n v="44567"/>
    <s v="Packaging issues. QC confirmed internal sell"/>
    <n v="471569.70000000007"/>
    <x v="0"/>
    <n v="30"/>
    <n v="471569.70000000007"/>
    <x v="0"/>
    <x v="0"/>
  </r>
  <r>
    <x v="0"/>
    <x v="2"/>
    <n v="44257"/>
    <x v="5"/>
    <x v="0"/>
    <x v="16"/>
    <x v="0"/>
    <x v="46"/>
    <s v="Cá viên ngon Cầu Tre 500gr"/>
    <s v="Gói"/>
    <n v="2"/>
    <n v="1"/>
    <d v="1899-12-30T12:00:00"/>
    <n v="44569"/>
    <s v="Packaging issues. QC confirmed internal sell"/>
    <n v="31437.980000000003"/>
    <x v="0"/>
    <n v="2"/>
    <n v="31437.980000000003"/>
    <x v="0"/>
    <x v="0"/>
  </r>
  <r>
    <x v="0"/>
    <x v="2"/>
    <n v="44257"/>
    <x v="5"/>
    <x v="0"/>
    <x v="16"/>
    <x v="0"/>
    <x v="46"/>
    <s v="Cá viên ngon Cầu Tre 500gr"/>
    <s v="Gói"/>
    <n v="28"/>
    <n v="14"/>
    <d v="1899-12-30T12:00:00"/>
    <n v="44569"/>
    <s v="Packaging issues. QC confirmed internal sell"/>
    <n v="440131.72"/>
    <x v="0"/>
    <n v="28"/>
    <n v="440131.72"/>
    <x v="0"/>
    <x v="0"/>
  </r>
  <r>
    <x v="0"/>
    <x v="2"/>
    <n v="44257"/>
    <x v="5"/>
    <x v="0"/>
    <x v="16"/>
    <x v="0"/>
    <x v="46"/>
    <s v="Cá viên ngon Cầu Tre 500gr"/>
    <s v="Túi"/>
    <n v="6"/>
    <n v="3"/>
    <d v="1899-12-30T12:00:00"/>
    <n v="44569"/>
    <s v="Packaging issues. QC confirmed internal sell"/>
    <n v="94313.94"/>
    <x v="0"/>
    <n v="6"/>
    <n v="94313.94"/>
    <x v="0"/>
    <x v="0"/>
  </r>
  <r>
    <x v="0"/>
    <x v="2"/>
    <n v="44257"/>
    <x v="5"/>
    <x v="0"/>
    <x v="16"/>
    <x v="0"/>
    <x v="46"/>
    <s v="Cá viên ngon Cầu Tre 500gr"/>
    <s v="Gói"/>
    <n v="36"/>
    <n v="18"/>
    <d v="1899-12-30T12:00:00"/>
    <n v="44569"/>
    <s v="Packaging issues. QC confirmed internal sell"/>
    <n v="565883.64"/>
    <x v="0"/>
    <n v="20"/>
    <n v="314379.8"/>
    <x v="0"/>
    <x v="0"/>
  </r>
  <r>
    <x v="0"/>
    <x v="2"/>
    <n v="44257"/>
    <x v="5"/>
    <x v="0"/>
    <x v="16"/>
    <x v="0"/>
    <x v="46"/>
    <s v="Cá viên ngon Cầu Tre 500gr"/>
    <s v="Gói"/>
    <n v="3"/>
    <n v="1.5"/>
    <d v="1899-12-30T12:00:00"/>
    <n v="44570"/>
    <s v="Packaging issues. QC confirmed internal sell"/>
    <n v="47156.97"/>
    <x v="0"/>
    <n v="3"/>
    <n v="47156.97"/>
    <x v="0"/>
    <x v="0"/>
  </r>
  <r>
    <x v="0"/>
    <x v="2"/>
    <n v="44257"/>
    <x v="5"/>
    <x v="0"/>
    <x v="16"/>
    <x v="0"/>
    <x v="46"/>
    <s v="Cá viên ngon Cầu Tre 500gr"/>
    <s v="Gói"/>
    <n v="28"/>
    <n v="14"/>
    <d v="1899-12-30T12:00:00"/>
    <n v="44577"/>
    <s v="Packaging issues. QC confirmed internal sell"/>
    <n v="440131.72"/>
    <x v="0"/>
    <n v="28"/>
    <n v="440131.72"/>
    <x v="0"/>
    <x v="0"/>
  </r>
  <r>
    <x v="0"/>
    <x v="2"/>
    <n v="44257"/>
    <x v="5"/>
    <x v="0"/>
    <x v="16"/>
    <x v="0"/>
    <x v="46"/>
    <s v="Cá viên ngon Cầu Tre 500gr"/>
    <s v="Túi"/>
    <n v="9"/>
    <n v="4.5"/>
    <d v="1899-12-30T12:00:00"/>
    <n v="44577"/>
    <s v="Packaging issues. QC confirmed internal sell"/>
    <n v="141470.91"/>
    <x v="0"/>
    <n v="9"/>
    <n v="141470.91"/>
    <x v="0"/>
    <x v="0"/>
  </r>
  <r>
    <x v="0"/>
    <x v="2"/>
    <n v="44257"/>
    <x v="5"/>
    <x v="0"/>
    <x v="16"/>
    <x v="0"/>
    <x v="46"/>
    <s v="Cá viên ngon Cầu Tre 500gr"/>
    <s v="Gói"/>
    <n v="66"/>
    <n v="33"/>
    <d v="1899-12-30T12:00:00"/>
    <n v="44577"/>
    <s v="Packaging issues. QC confirmed internal sell"/>
    <n v="1037453.34"/>
    <x v="0"/>
    <n v="66"/>
    <n v="1037453.34"/>
    <x v="0"/>
    <x v="0"/>
  </r>
  <r>
    <x v="0"/>
    <x v="2"/>
    <n v="44257"/>
    <x v="5"/>
    <x v="0"/>
    <x v="16"/>
    <x v="0"/>
    <x v="46"/>
    <s v="Cá viên ngon Cầu Tre 500gr"/>
    <s v="Gói"/>
    <n v="8"/>
    <n v="4"/>
    <d v="1899-12-30T12:00:00"/>
    <n v="44581"/>
    <s v="Packaging issues. QC confirmed internal sell"/>
    <n v="125751.92"/>
    <x v="0"/>
    <n v="8"/>
    <n v="125751.92"/>
    <x v="0"/>
    <x v="0"/>
  </r>
  <r>
    <x v="0"/>
    <x v="2"/>
    <n v="44257"/>
    <x v="3"/>
    <x v="0"/>
    <x v="4"/>
    <x v="2"/>
    <x v="42"/>
    <s v="Dưa cải Bibigo 200G"/>
    <s v="Gói"/>
    <n v="1020"/>
    <n v="204"/>
    <d v="1899-12-30T04:48:00"/>
    <n v="44274"/>
    <s v="Sales under Forecast (Feb)"/>
    <n v="6307122.6720000003"/>
    <x v="0"/>
    <n v="0"/>
    <n v="0"/>
    <x v="0"/>
    <x v="0"/>
  </r>
  <r>
    <x v="0"/>
    <x v="2"/>
    <n v="44257"/>
    <x v="3"/>
    <x v="0"/>
    <x v="4"/>
    <x v="2"/>
    <x v="42"/>
    <s v="Dưa cải Bibigo 200G"/>
    <s v="Gói"/>
    <n v="335"/>
    <n v="67"/>
    <d v="1899-12-30T04:48:00"/>
    <n v="44276"/>
    <s v="Sales under Forecast (Feb)"/>
    <n v="2071456.956"/>
    <x v="0"/>
    <n v="0"/>
    <n v="0"/>
    <x v="0"/>
    <x v="0"/>
  </r>
  <r>
    <x v="0"/>
    <x v="2"/>
    <n v="44257"/>
    <x v="3"/>
    <x v="0"/>
    <x v="4"/>
    <x v="2"/>
    <x v="42"/>
    <s v="Dưa cải Bibigo 200G"/>
    <s v="Gói"/>
    <n v="1850"/>
    <n v="370"/>
    <d v="1899-12-30T04:48:00"/>
    <n v="44277"/>
    <s v="Sales under Forecast (Feb)"/>
    <n v="11439389.16"/>
    <x v="0"/>
    <n v="0"/>
    <n v="0"/>
    <x v="0"/>
    <x v="0"/>
  </r>
  <r>
    <x v="0"/>
    <x v="2"/>
    <n v="44257"/>
    <x v="3"/>
    <x v="0"/>
    <x v="4"/>
    <x v="2"/>
    <x v="42"/>
    <s v="Dưa cải Bibigo 200G"/>
    <s v="Gói"/>
    <n v="59"/>
    <n v="11.8"/>
    <d v="1899-12-30T04:48:00"/>
    <n v="44279"/>
    <s v="Sales under Forecast (Feb)"/>
    <n v="364823.76240000001"/>
    <x v="0"/>
    <n v="0"/>
    <n v="0"/>
    <x v="0"/>
    <x v="0"/>
  </r>
  <r>
    <x v="0"/>
    <x v="2"/>
    <n v="44257"/>
    <x v="3"/>
    <x v="0"/>
    <x v="4"/>
    <x v="2"/>
    <x v="18"/>
    <s v="Kim chi cải thảo cắt lát Ông Kim's 300g"/>
    <s v="Hộp"/>
    <n v="947"/>
    <n v="284.09999999999997"/>
    <d v="1899-12-30T07:12:00"/>
    <n v="44273"/>
    <s v="Sales under Forecast (before Tet)"/>
    <n v="9817681.0118000004"/>
    <x v="0"/>
    <n v="0"/>
    <n v="0"/>
    <x v="0"/>
    <x v="0"/>
  </r>
  <r>
    <x v="0"/>
    <x v="2"/>
    <n v="44257"/>
    <x v="3"/>
    <x v="0"/>
    <x v="4"/>
    <x v="2"/>
    <x v="18"/>
    <s v="Kim chi cải thảo cắt lát Ông Kim's 300g"/>
    <s v="Hộp"/>
    <n v="1277"/>
    <n v="383.1"/>
    <d v="1899-12-30T07:12:00"/>
    <n v="44274"/>
    <s v="Sales under Forecast (before Tet)"/>
    <n v="13238837.013800001"/>
    <x v="0"/>
    <n v="0"/>
    <n v="0"/>
    <x v="0"/>
    <x v="0"/>
  </r>
  <r>
    <x v="0"/>
    <x v="2"/>
    <n v="44264"/>
    <x v="4"/>
    <x v="0"/>
    <x v="5"/>
    <x v="1"/>
    <x v="47"/>
    <s v="(BEKSUL) Giấm táo Hàn Quốc 500ml"/>
    <s v="Chai"/>
    <n v="80"/>
    <n v="40"/>
    <d v="1899-12-30T12:00:00"/>
    <n v="44754"/>
    <s v="Unused material"/>
    <n v="1104624.5161290322"/>
    <x v="0"/>
    <n v="80"/>
    <n v="1104624.5161290322"/>
    <x v="0"/>
    <x v="0"/>
  </r>
  <r>
    <x v="0"/>
    <x v="2"/>
    <n v="44264"/>
    <x v="7"/>
    <x v="0"/>
    <x v="17"/>
    <x v="1"/>
    <x v="48"/>
    <s v="Sốt Yaki Udon - 900g"/>
    <s v="Gói"/>
    <n v="70"/>
    <n v="63"/>
    <d v="1899-12-30T21:36:00"/>
    <n v="44334"/>
    <s v="De-MKT"/>
    <n v="2974029.9999899999"/>
    <x v="0"/>
    <n v="8"/>
    <n v="339889.14285599999"/>
    <x v="0"/>
    <x v="0"/>
  </r>
  <r>
    <x v="0"/>
    <x v="2"/>
    <n v="44264"/>
    <x v="7"/>
    <x v="0"/>
    <x v="17"/>
    <x v="1"/>
    <x v="49"/>
    <s v="Sốt Singapore - 900g"/>
    <s v="Gói"/>
    <n v="66"/>
    <n v="59.4"/>
    <d v="1899-12-30T21:36:00"/>
    <n v="44307"/>
    <s v="De-MKT"/>
    <n v="2069562.4520340001"/>
    <x v="0"/>
    <n v="18"/>
    <n v="564426.12328199996"/>
    <x v="0"/>
    <x v="0"/>
  </r>
  <r>
    <x v="0"/>
    <x v="2"/>
    <n v="44264"/>
    <x v="7"/>
    <x v="0"/>
    <x v="17"/>
    <x v="1"/>
    <x v="49"/>
    <s v="Sốt Singapore - 900g"/>
    <s v="Gói"/>
    <n v="80"/>
    <n v="72"/>
    <d v="1899-12-30T21:36:00"/>
    <n v="44334"/>
    <s v="De-MKT"/>
    <n v="2508560.5479199998"/>
    <x v="0"/>
    <n v="0"/>
    <n v="0"/>
    <x v="0"/>
    <x v="0"/>
  </r>
  <r>
    <x v="0"/>
    <x v="2"/>
    <n v="44264"/>
    <x v="7"/>
    <x v="0"/>
    <x v="17"/>
    <x v="1"/>
    <x v="50"/>
    <s v="Xốt tứ xuyên - 900g"/>
    <s v="Gói"/>
    <n v="54"/>
    <n v="48.6"/>
    <d v="1899-12-30T21:36:00"/>
    <n v="44323"/>
    <s v="De-MKT"/>
    <n v="1228577.9999760001"/>
    <x v="0"/>
    <n v="31"/>
    <n v="705294.777764"/>
    <x v="0"/>
    <x v="0"/>
  </r>
  <r>
    <x v="0"/>
    <x v="2"/>
    <n v="44264"/>
    <x v="7"/>
    <x v="0"/>
    <x v="17"/>
    <x v="1"/>
    <x v="51"/>
    <s v="Thịt nướng BULGOGI -CJ ( Bulgogi BBQ Meat -CJ) - 900g"/>
    <s v="Gói"/>
    <n v="19"/>
    <n v="17.100000000000001"/>
    <d v="1899-12-30T21:36:00"/>
    <n v="44335"/>
    <s v="De-MKT"/>
    <n v="1658878"/>
    <x v="0"/>
    <n v="19"/>
    <n v="1658878"/>
    <x v="0"/>
    <x v="0"/>
  </r>
  <r>
    <x v="0"/>
    <x v="2"/>
    <n v="44264"/>
    <x v="7"/>
    <x v="0"/>
    <x v="17"/>
    <x v="1"/>
    <x v="52"/>
    <s v="Thịt Gà trộn rau củ - 900g"/>
    <s v="Gói"/>
    <n v="126"/>
    <n v="113.4"/>
    <d v="1899-12-30T21:36:00"/>
    <n v="44307"/>
    <s v="De-MKT"/>
    <n v="4596480"/>
    <x v="0"/>
    <n v="126"/>
    <n v="4596480"/>
    <x v="0"/>
    <x v="0"/>
  </r>
  <r>
    <x v="0"/>
    <x v="2"/>
    <n v="44264"/>
    <x v="7"/>
    <x v="0"/>
    <x v="17"/>
    <x v="1"/>
    <x v="52"/>
    <s v="Thịt Gà trộn rau củ - 900g"/>
    <s v="GOI"/>
    <n v="135"/>
    <n v="121.5"/>
    <d v="1899-12-30T21:36:00"/>
    <n v="44335"/>
    <s v="De-MKT"/>
    <n v="4924800"/>
    <x v="0"/>
    <n v="135"/>
    <n v="4924800"/>
    <x v="0"/>
    <x v="0"/>
  </r>
  <r>
    <x v="0"/>
    <x v="2"/>
    <n v="44264"/>
    <x v="5"/>
    <x v="0"/>
    <x v="11"/>
    <x v="2"/>
    <x v="43"/>
    <s v="Chả Cá Quết - Chả Cá Kiểu Nha Trang 280g (mát)"/>
    <s v="Gói"/>
    <n v="1"/>
    <n v="0.28000000000000003"/>
    <d v="1899-12-30T06:43:12"/>
    <n v="44290"/>
    <s v="Customers returned"/>
    <n v="20625.023499999999"/>
    <x v="0"/>
    <n v="1"/>
    <n v="20625.023499999999"/>
    <x v="0"/>
    <x v="0"/>
  </r>
  <r>
    <x v="0"/>
    <x v="2"/>
    <n v="44264"/>
    <x v="3"/>
    <x v="0"/>
    <x v="12"/>
    <x v="2"/>
    <x v="53"/>
    <s v="Kim chi cải thảo cắt lát Ông Kim's 5kg (B2B) - GGG"/>
    <s v="Túi"/>
    <n v="28"/>
    <n v="140"/>
    <d v="1900-01-04T00:00:00"/>
    <n v="44288"/>
    <s v="Return from distributor"/>
    <n v="2760382.898"/>
    <x v="0"/>
    <n v="7"/>
    <n v="690095.72450000001"/>
    <x v="0"/>
    <x v="0"/>
  </r>
  <r>
    <x v="0"/>
    <x v="2"/>
    <n v="44264"/>
    <x v="3"/>
    <x v="0"/>
    <x v="12"/>
    <x v="2"/>
    <x v="30"/>
    <s v="bibigo Kimchi cải thảo cắt lát 500gr"/>
    <s v="Hộp"/>
    <n v="24"/>
    <n v="12"/>
    <d v="1899-12-30T12:00:00"/>
    <n v="44280"/>
    <s v="Return from distributor"/>
    <n v="352297.95360000001"/>
    <x v="0"/>
    <n v="0"/>
    <n v="0"/>
    <x v="0"/>
    <x v="0"/>
  </r>
  <r>
    <x v="0"/>
    <x v="2"/>
    <n v="44264"/>
    <x v="3"/>
    <x v="0"/>
    <x v="12"/>
    <x v="2"/>
    <x v="54"/>
    <s v="bibigo Kimchi cải thảo cắt lát 1,2kg"/>
    <s v="Hũ"/>
    <n v="113"/>
    <n v="135.6"/>
    <d v="1899-12-31T04:48:00"/>
    <n v="44290"/>
    <s v="Return from distributor?"/>
    <n v="2855960.2823999999"/>
    <x v="0"/>
    <n v="0"/>
    <n v="0"/>
    <x v="0"/>
    <x v="0"/>
  </r>
  <r>
    <x v="0"/>
    <x v="2"/>
    <n v="44264"/>
    <x v="3"/>
    <x v="0"/>
    <x v="12"/>
    <x v="2"/>
    <x v="5"/>
    <s v="bibigo Kimchi cải thảo cây 1kg"/>
    <s v="Túi"/>
    <n v="173"/>
    <n v="173"/>
    <d v="1899-12-31T00:00:00"/>
    <n v="44282"/>
    <s v="Low sales in Jan &amp; Feb"/>
    <n v="3577321.9222000004"/>
    <x v="0"/>
    <n v="0"/>
    <n v="0"/>
    <x v="0"/>
    <x v="0"/>
  </r>
  <r>
    <x v="0"/>
    <x v="2"/>
    <n v="44264"/>
    <x v="3"/>
    <x v="0"/>
    <x v="12"/>
    <x v="2"/>
    <x v="5"/>
    <s v="bibigo Kimchi cải thảo cây 1kg"/>
    <s v="Túi"/>
    <n v="1027"/>
    <n v="1027"/>
    <d v="1899-12-31T00:00:00"/>
    <n v="44283"/>
    <s v="Low sales in Jan &amp; Feb"/>
    <n v="21236471.757800002"/>
    <x v="0"/>
    <n v="0"/>
    <n v="0"/>
    <x v="0"/>
    <x v="0"/>
  </r>
  <r>
    <x v="0"/>
    <x v="2"/>
    <n v="44264"/>
    <x v="3"/>
    <x v="0"/>
    <x v="12"/>
    <x v="2"/>
    <x v="55"/>
    <s v="bibigo Kimchi cải thảo cây 5kg"/>
    <s v="Bịch"/>
    <n v="6"/>
    <n v="30"/>
    <d v="1900-01-04T00:00:00"/>
    <n v="44290"/>
    <s v="Low sales in Feb (MTD (to 24/2)  actual sales only 21% at South"/>
    <n v="516325.62"/>
    <x v="0"/>
    <n v="0"/>
    <n v="0"/>
    <x v="0"/>
    <x v="0"/>
  </r>
  <r>
    <x v="0"/>
    <x v="2"/>
    <n v="44264"/>
    <x v="3"/>
    <x v="0"/>
    <x v="12"/>
    <x v="2"/>
    <x v="18"/>
    <s v="Kim chi cải thảo cắt lát Ông Kim's 300g"/>
    <s v="Hộp"/>
    <n v="237"/>
    <n v="71.099999999999994"/>
    <d v="1899-12-30T07:12:00"/>
    <n v="44290"/>
    <s v="Low sales in Feb (MTD (to 24/2)  actual sales only 21% at South"/>
    <n v="1983012.0378"/>
    <x v="0"/>
    <n v="0"/>
    <n v="0"/>
    <x v="0"/>
    <x v="0"/>
  </r>
  <r>
    <x v="0"/>
    <x v="2"/>
    <n v="44264"/>
    <x v="3"/>
    <x v="0"/>
    <x v="12"/>
    <x v="2"/>
    <x v="18"/>
    <s v="Kim chi cải thảo cắt lát Ông Kim's 300g"/>
    <s v="Hộp"/>
    <n v="3225"/>
    <n v="967.5"/>
    <d v="1899-12-30T07:12:00"/>
    <n v="44291"/>
    <s v="Low sales in Feb (MTD (to 24/2)  actual sales only 21% at South"/>
    <n v="26984024.565000001"/>
    <x v="0"/>
    <n v="0"/>
    <n v="0"/>
    <x v="0"/>
    <x v="0"/>
  </r>
  <r>
    <x v="0"/>
    <x v="2"/>
    <n v="44264"/>
    <x v="3"/>
    <x v="0"/>
    <x v="12"/>
    <x v="2"/>
    <x v="18"/>
    <s v="Kim chi cải thảo cắt lát Ông Kim's 300g"/>
    <s v="Hộp"/>
    <n v="130"/>
    <n v="39"/>
    <d v="1899-12-30T07:12:00"/>
    <n v="44292"/>
    <s v="Low sales in Feb (MTD (to 24/2)  actual sales only 21% at South"/>
    <n v="1087728.122"/>
    <x v="0"/>
    <n v="2"/>
    <n v="16734.2788"/>
    <x v="0"/>
    <x v="0"/>
  </r>
  <r>
    <x v="0"/>
    <x v="2"/>
    <n v="44264"/>
    <x v="5"/>
    <x v="0"/>
    <x v="11"/>
    <x v="2"/>
    <x v="56"/>
    <s v="Chả Cá quết - Chả Cá Dây Kiểu Vũng Tàu 265g"/>
    <s v="Gói"/>
    <n v="4"/>
    <n v="1.06"/>
    <d v="1899-12-30T06:21:36"/>
    <n v="44275"/>
    <s v="Low sales"/>
    <n v="75200"/>
    <x v="0"/>
    <n v="4"/>
    <n v="75200"/>
    <x v="0"/>
    <x v="0"/>
  </r>
  <r>
    <x v="0"/>
    <x v="2"/>
    <n v="44264"/>
    <x v="7"/>
    <x v="0"/>
    <x v="13"/>
    <x v="2"/>
    <x v="57"/>
    <s v="Bột Tẩm Khô Chiên Giòn 42g"/>
    <s v="Túi"/>
    <n v="733"/>
    <n v="30.786000000000001"/>
    <d v="1899-12-30T01:00:29"/>
    <n v="44364"/>
    <s v="De-MKT"/>
    <n v="2284765.4712999999"/>
    <x v="0"/>
    <n v="7"/>
    <n v="21819.042700000002"/>
    <x v="0"/>
    <x v="0"/>
  </r>
  <r>
    <x v="0"/>
    <x v="2"/>
    <n v="44264"/>
    <x v="0"/>
    <x v="0"/>
    <x v="18"/>
    <x v="2"/>
    <x v="58"/>
    <s v="BIBIGO bánh xếp vị Kimchi  420G"/>
    <s v="Gói"/>
    <n v="8"/>
    <n v="3.36"/>
    <d v="1899-12-30T10:04:48"/>
    <n v="44337"/>
    <s v="Customers returned"/>
    <n v="236760.16800000001"/>
    <x v="0"/>
    <n v="6"/>
    <n v="177570.12599999999"/>
    <x v="0"/>
    <x v="0"/>
  </r>
  <r>
    <x v="0"/>
    <x v="2"/>
    <n v="44264"/>
    <x v="2"/>
    <x v="0"/>
    <x v="2"/>
    <x v="2"/>
    <x v="7"/>
    <s v="Nước Uống Collagen Innerb Glowshot ((50ML*6EA)*10EA/CT)"/>
    <s v="Hộp"/>
    <n v="1"/>
    <n v="0.3"/>
    <d v="1899-12-30T07:12:00"/>
    <n v="44308"/>
    <s v="Customers returned"/>
    <n v="48052.090800000005"/>
    <x v="0"/>
    <n v="0"/>
    <n v="0"/>
    <x v="0"/>
    <x v="0"/>
  </r>
  <r>
    <x v="0"/>
    <x v="2"/>
    <n v="44264"/>
    <x v="5"/>
    <x v="0"/>
    <x v="11"/>
    <x v="2"/>
    <x v="32"/>
    <s v="Chả Lụa Quết Mini - gói 200g"/>
    <s v="GOI"/>
    <n v="27"/>
    <n v="5.4"/>
    <d v="1899-12-30T04:48:00"/>
    <n v="44282"/>
    <s v="Customers returned"/>
    <n v="318569.20379999996"/>
    <x v="0"/>
    <n v="27"/>
    <n v="318569.20379999996"/>
    <x v="0"/>
    <x v="0"/>
  </r>
  <r>
    <x v="0"/>
    <x v="2"/>
    <n v="44264"/>
    <x v="5"/>
    <x v="0"/>
    <x v="11"/>
    <x v="2"/>
    <x v="26"/>
    <s v="Chả cá viên 500g"/>
    <s v="TUI"/>
    <n v="3"/>
    <n v="1.5"/>
    <d v="1899-12-30T12:00:00"/>
    <n v="44291"/>
    <s v="Customers returned"/>
    <n v="80080.138500000001"/>
    <x v="0"/>
    <n v="3"/>
    <n v="80080.138500000001"/>
    <x v="0"/>
    <x v="0"/>
  </r>
  <r>
    <x v="0"/>
    <x v="2"/>
    <n v="44264"/>
    <x v="6"/>
    <x v="0"/>
    <x v="8"/>
    <x v="2"/>
    <x v="59"/>
    <s v="Snack Rong biển Bibigo vị truyền thống 25gr"/>
    <s v="GOI"/>
    <n v="369"/>
    <n v="9.2249999999999996"/>
    <d v="1899-12-30T00:36:00"/>
    <n v="44317"/>
    <s v="Low sales"/>
    <n v="2998755.5841000001"/>
    <x v="0"/>
    <n v="320"/>
    <n v="2600546.8480000002"/>
    <x v="0"/>
    <x v="0"/>
  </r>
  <r>
    <x v="0"/>
    <x v="2"/>
    <n v="44271"/>
    <x v="6"/>
    <x v="0"/>
    <x v="8"/>
    <x v="0"/>
    <x v="60"/>
    <s v="Rong biển ăn liền Bibigo vị BBQ 5gr"/>
    <s v="Túi"/>
    <n v="68"/>
    <n v="0.34"/>
    <d v="1899-12-30T00:07:12"/>
    <n v="44340"/>
    <s v="Sales under FC – North – Normal"/>
    <n v="152652.93479999999"/>
    <x v="0"/>
    <n v="0"/>
    <n v="0"/>
    <x v="0"/>
    <x v="0"/>
  </r>
  <r>
    <x v="0"/>
    <x v="2"/>
    <n v="44271"/>
    <x v="7"/>
    <x v="0"/>
    <x v="19"/>
    <x v="0"/>
    <x v="61"/>
    <s v="Nem nướng ( Xiên que)- Gói 400g"/>
    <s v="Gói"/>
    <n v="1"/>
    <n v="0.4"/>
    <d v="1899-12-30T09:36:00"/>
    <n v="44378"/>
    <s v="Low sales"/>
    <n v="36766.394200000002"/>
    <x v="0"/>
    <n v="0"/>
    <n v="0"/>
    <x v="0"/>
    <x v="0"/>
  </r>
  <r>
    <x v="0"/>
    <x v="2"/>
    <n v="44271"/>
    <x v="0"/>
    <x v="0"/>
    <x v="3"/>
    <x v="0"/>
    <x v="62"/>
    <s v="Bánh Mandu Thịt CJ Bibigo - gói 1.505kg- Thùng 9,03 kg"/>
    <s v="Gói"/>
    <n v="88"/>
    <n v="132.44"/>
    <d v="1899-12-31T12:07:12"/>
    <n v="44532"/>
    <s v="Packaging issues"/>
    <n v="7924898.8631999996"/>
    <x v="0"/>
    <n v="88"/>
    <n v="7924898.8631999996"/>
    <x v="0"/>
    <x v="0"/>
  </r>
  <r>
    <x v="0"/>
    <x v="2"/>
    <n v="44271"/>
    <x v="5"/>
    <x v="0"/>
    <x v="1"/>
    <x v="0"/>
    <x v="14"/>
    <s v="OHYA Tokboki chả cá- Xốt Tok Tok Sa Tế Tôm 180g"/>
    <s v="Khay"/>
    <n v="80"/>
    <n v="14.4"/>
    <d v="1899-12-30T04:19:12"/>
    <n v="44350"/>
    <s v="Low sales"/>
    <n v="916738.22400000005"/>
    <x v="0"/>
    <n v="36"/>
    <n v="412532.20079999999"/>
    <x v="0"/>
    <x v="0"/>
  </r>
  <r>
    <x v="0"/>
    <x v="2"/>
    <n v="44271"/>
    <x v="3"/>
    <x v="0"/>
    <x v="12"/>
    <x v="1"/>
    <x v="42"/>
    <s v="Dưa cải Bibigo 200g"/>
    <s v="Gói"/>
    <n v="1250"/>
    <n v="250"/>
    <d v="1899-12-30T04:48:00"/>
    <n v="44273"/>
    <s v="Low sales in Feb (MTD (to 24/2)  actual sales only 21% at South"/>
    <n v="7729317"/>
    <x v="0"/>
    <n v="0"/>
    <n v="0"/>
    <x v="0"/>
    <x v="0"/>
  </r>
  <r>
    <x v="0"/>
    <x v="2"/>
    <n v="44271"/>
    <x v="3"/>
    <x v="0"/>
    <x v="12"/>
    <x v="1"/>
    <x v="42"/>
    <s v="Dưa cải Bibigo 200g"/>
    <s v="Gói"/>
    <n v="154"/>
    <n v="30.8"/>
    <d v="1899-12-30T04:48:00"/>
    <n v="44276"/>
    <s v="Low sales in Feb (MTD (to 24/2)  actual sales only 21% at South"/>
    <n v="952251.85439999995"/>
    <x v="0"/>
    <n v="0"/>
    <n v="0"/>
    <x v="0"/>
    <x v="0"/>
  </r>
  <r>
    <x v="0"/>
    <x v="2"/>
    <n v="44271"/>
    <x v="1"/>
    <x v="0"/>
    <x v="20"/>
    <x v="1"/>
    <x v="63"/>
    <s v="I'm Phở - Hương vị bò - 60g Nhật"/>
    <s v="TOZ"/>
    <n v="36"/>
    <n v="2.16"/>
    <d v="1899-12-30T01:26:24"/>
    <n v="44549"/>
    <s v="Export stock left after loading"/>
    <n v="145512"/>
    <x v="0"/>
    <n v="36"/>
    <n v="145512"/>
    <x v="0"/>
    <x v="0"/>
  </r>
  <r>
    <x v="0"/>
    <x v="2"/>
    <n v="44271"/>
    <x v="1"/>
    <x v="0"/>
    <x v="20"/>
    <x v="1"/>
    <x v="64"/>
    <s v="I'm Phở - Hương vị gà 60 g Nhật"/>
    <s v="TOZ"/>
    <n v="24"/>
    <n v="1.44"/>
    <d v="1899-12-30T01:26:24"/>
    <n v="44549"/>
    <s v="Export stock left after loading"/>
    <n v="97008"/>
    <x v="0"/>
    <n v="24"/>
    <n v="97008"/>
    <x v="0"/>
    <x v="0"/>
  </r>
  <r>
    <x v="0"/>
    <x v="2"/>
    <n v="44271"/>
    <x v="3"/>
    <x v="0"/>
    <x v="21"/>
    <x v="2"/>
    <x v="65"/>
    <s v="Đậu hũ chiên Ông Kim's 350gr"/>
    <s v="Hộp"/>
    <n v="8"/>
    <n v="2.8"/>
    <d v="1899-12-30T08:24:00"/>
    <n v="44276"/>
    <s v="Low sales in 1st week of recovery. Actual sales only 20% vs forecast (act: 526kg vs FC 2660kg)"/>
    <n v="105587.1056"/>
    <x v="0"/>
    <n v="0"/>
    <n v="0"/>
    <x v="0"/>
    <x v="0"/>
  </r>
  <r>
    <x v="0"/>
    <x v="2"/>
    <n v="44271"/>
    <x v="3"/>
    <x v="0"/>
    <x v="21"/>
    <x v="2"/>
    <x v="65"/>
    <s v="Đậu hũ chiên Ông Kim's 350gr"/>
    <s v="Hộp"/>
    <n v="859"/>
    <n v="300.64999999999998"/>
    <d v="1899-12-30T08:24:00"/>
    <n v="44277"/>
    <s v="Low sales in 1st week of recovery. Actual sales only 20% vs forecast (act: 526kg vs FC 2660kg)"/>
    <n v="11337415.4638"/>
    <x v="0"/>
    <n v="0"/>
    <n v="0"/>
    <x v="0"/>
    <x v="0"/>
  </r>
  <r>
    <x v="0"/>
    <x v="2"/>
    <n v="44271"/>
    <x v="3"/>
    <x v="0"/>
    <x v="21"/>
    <x v="2"/>
    <x v="65"/>
    <s v="Đậu hũ chiên Ông Kim's 350gr"/>
    <s v="Hộp"/>
    <n v="85"/>
    <n v="29.749999999999996"/>
    <d v="1899-12-30T08:24:00"/>
    <n v="44278"/>
    <s v="Low sales in 1st week of recovery. Actual sales only 20% vs forecast (act: 526kg vs FC 2660kg)"/>
    <n v="1121862.997"/>
    <x v="0"/>
    <n v="0"/>
    <n v="0"/>
    <x v="0"/>
    <x v="0"/>
  </r>
  <r>
    <x v="0"/>
    <x v="2"/>
    <n v="44271"/>
    <x v="3"/>
    <x v="0"/>
    <x v="21"/>
    <x v="2"/>
    <x v="65"/>
    <s v="Đậu hũ chiên Ông Kim's 350gr"/>
    <s v="Hộp"/>
    <n v="864"/>
    <n v="302.39999999999998"/>
    <d v="1899-12-30T08:24:00"/>
    <n v="44279"/>
    <s v="Low sales in 1st week of recovery. Actual sales only 20% vs forecast (act: 526kg vs FC 2660kg)"/>
    <n v="11403407.4048"/>
    <x v="0"/>
    <n v="0"/>
    <n v="0"/>
    <x v="0"/>
    <x v="0"/>
  </r>
  <r>
    <x v="0"/>
    <x v="2"/>
    <n v="44271"/>
    <x v="3"/>
    <x v="0"/>
    <x v="21"/>
    <x v="2"/>
    <x v="65"/>
    <s v="Đậu hũ chiên Ông Kim's 350gr"/>
    <s v="Hộp"/>
    <n v="883"/>
    <n v="309.04999999999995"/>
    <d v="1899-12-30T08:24:00"/>
    <n v="44280"/>
    <s v="Low sales in 1st week of recovery. Actual sales only 20% vs forecast (act: 526kg vs FC 2660kg)"/>
    <n v="11654176.7806"/>
    <x v="0"/>
    <n v="0"/>
    <n v="0"/>
    <x v="0"/>
    <x v="0"/>
  </r>
  <r>
    <x v="0"/>
    <x v="2"/>
    <n v="44271"/>
    <x v="3"/>
    <x v="0"/>
    <x v="21"/>
    <x v="2"/>
    <x v="65"/>
    <s v="Đậu hũ chiên Ông Kim's 350gr"/>
    <s v="Hộp"/>
    <n v="841"/>
    <n v="294.34999999999997"/>
    <d v="1899-12-30T08:24:00"/>
    <n v="44283"/>
    <s v="Low sales in 1st week of recovery. Actual sales only 20% vs forecast (act: 526kg vs FC 2660kg)"/>
    <n v="11099844.476199999"/>
    <x v="0"/>
    <n v="0"/>
    <n v="0"/>
    <x v="0"/>
    <x v="0"/>
  </r>
  <r>
    <x v="0"/>
    <x v="2"/>
    <n v="44271"/>
    <x v="3"/>
    <x v="0"/>
    <x v="21"/>
    <x v="2"/>
    <x v="66"/>
    <s v="Đậu hũ miếng Bibigo Ông Kim's 250gr"/>
    <s v="Hộp"/>
    <n v="511"/>
    <n v="127.75"/>
    <d v="1899-12-30T06:00:00"/>
    <n v="44280"/>
    <s v="Low sales in 1st week of recovery. Actual sales only 13% vs forecast (act: 228kg vs FC 1766kg)"/>
    <n v="3541812.54"/>
    <x v="0"/>
    <n v="0"/>
    <n v="0"/>
    <x v="0"/>
    <x v="0"/>
  </r>
  <r>
    <x v="0"/>
    <x v="2"/>
    <n v="44271"/>
    <x v="3"/>
    <x v="0"/>
    <x v="21"/>
    <x v="2"/>
    <x v="66"/>
    <s v="Đậu hũ miếng Bibigo Ông Kim's 250gr"/>
    <s v="Hộp"/>
    <n v="1073"/>
    <n v="268.25"/>
    <d v="1899-12-30T06:00:00"/>
    <n v="44283"/>
    <s v="Low sales in 1st week of recovery. Actual sales only 13% vs forecast (act: 228kg vs FC 1766kg)"/>
    <n v="7437113.2199999997"/>
    <x v="0"/>
    <n v="0"/>
    <n v="0"/>
    <x v="0"/>
    <x v="0"/>
  </r>
  <r>
    <x v="0"/>
    <x v="2"/>
    <n v="44271"/>
    <x v="3"/>
    <x v="0"/>
    <x v="12"/>
    <x v="2"/>
    <x v="42"/>
    <s v="Dưa cải Bibigo 200G"/>
    <s v="Gói"/>
    <n v="331"/>
    <n v="66.2"/>
    <d v="1899-12-30T04:48:00"/>
    <n v="44273"/>
    <s v="Low sales in Feb (MTD (to 24/2)  actual sales only 21% at South"/>
    <n v="2069829.06"/>
    <x v="0"/>
    <n v="0"/>
    <n v="0"/>
    <x v="0"/>
    <x v="0"/>
  </r>
  <r>
    <x v="0"/>
    <x v="2"/>
    <n v="44271"/>
    <x v="3"/>
    <x v="0"/>
    <x v="12"/>
    <x v="2"/>
    <x v="42"/>
    <s v="Dưa cải Bibigo 200G"/>
    <s v="Gói"/>
    <n v="1228"/>
    <n v="245.6"/>
    <d v="1899-12-30T04:48:00"/>
    <n v="44277"/>
    <s v="Low sales in Feb (MTD (to 24/2)  actual sales only 21% at South"/>
    <n v="7679003.2800000003"/>
    <x v="0"/>
    <n v="0"/>
    <n v="0"/>
    <x v="0"/>
    <x v="0"/>
  </r>
  <r>
    <x v="0"/>
    <x v="2"/>
    <n v="44271"/>
    <x v="5"/>
    <x v="0"/>
    <x v="16"/>
    <x v="2"/>
    <x v="67"/>
    <s v="Cá viên 500g 160 viên/kg"/>
    <s v="Kg"/>
    <n v="59.5"/>
    <n v="59.5"/>
    <d v="1899-12-31T00:00:00"/>
    <n v="44280"/>
    <s v="Low sales"/>
    <n v="1624281.55715"/>
    <x v="0"/>
    <n v="59.5"/>
    <n v="1624281.55715"/>
    <x v="0"/>
    <x v="0"/>
  </r>
  <r>
    <x v="0"/>
    <x v="2"/>
    <n v="44271"/>
    <x v="3"/>
    <x v="0"/>
    <x v="12"/>
    <x v="2"/>
    <x v="41"/>
    <s v="bibigo Kimchi cải thảo chay 500gr"/>
    <s v="Hộp"/>
    <n v="6"/>
    <n v="3"/>
    <d v="1899-12-30T12:00:00"/>
    <n v="44267"/>
    <s v="Return from distributor"/>
    <n v="95477.604599999977"/>
    <x v="0"/>
    <n v="0"/>
    <n v="0"/>
    <x v="0"/>
    <x v="0"/>
  </r>
  <r>
    <x v="0"/>
    <x v="2"/>
    <n v="44271"/>
    <x v="3"/>
    <x v="0"/>
    <x v="12"/>
    <x v="2"/>
    <x v="68"/>
    <s v="bibigo Kimchi cải thảo - ngò 500gr"/>
    <s v="Hộp"/>
    <n v="14"/>
    <n v="7"/>
    <d v="1899-12-30T12:00:00"/>
    <n v="44270"/>
    <s v="Return from distributor"/>
    <n v="238544.40820000001"/>
    <x v="0"/>
    <n v="10"/>
    <n v="170388.86299999998"/>
    <x v="0"/>
    <x v="0"/>
  </r>
  <r>
    <x v="0"/>
    <x v="2"/>
    <n v="44271"/>
    <x v="3"/>
    <x v="0"/>
    <x v="12"/>
    <x v="2"/>
    <x v="18"/>
    <s v="Kim chi cải thảo cắt lát Ông Kim's 300g"/>
    <s v="Hộp"/>
    <n v="797"/>
    <n v="239.1"/>
    <d v="1899-12-30T07:12:00"/>
    <n v="44274"/>
    <s v="Low sales before Tet (actual sales only 23% vs forecast in 1st week of Feb : actual 0.9 tons vs FC 4tons)"/>
    <n v="9662716.9779000003"/>
    <x v="0"/>
    <n v="0"/>
    <n v="0"/>
    <x v="0"/>
    <x v="0"/>
  </r>
  <r>
    <x v="0"/>
    <x v="2"/>
    <n v="44271"/>
    <x v="3"/>
    <x v="0"/>
    <x v="12"/>
    <x v="2"/>
    <x v="18"/>
    <s v="Kim chi cải thảo cắt lát Ông Kim's 300g"/>
    <s v="Hộp"/>
    <n v="96"/>
    <n v="28.799999999999997"/>
    <d v="1899-12-30T07:12:00"/>
    <n v="44279"/>
    <s v="Low sales before Tet (actual sales only 23% vs forecast in 1st week of Feb : actual 0.9 tons vs FC 4tons)"/>
    <n v="1163890.6272"/>
    <x v="0"/>
    <n v="0"/>
    <n v="0"/>
    <x v="0"/>
    <x v="0"/>
  </r>
  <r>
    <x v="0"/>
    <x v="2"/>
    <n v="44271"/>
    <x v="3"/>
    <x v="0"/>
    <x v="12"/>
    <x v="2"/>
    <x v="18"/>
    <s v="Kim chi cải thảo cắt lát Ông Kim's 300g"/>
    <s v="Hộp"/>
    <n v="240"/>
    <n v="72"/>
    <d v="1899-12-30T07:12:00"/>
    <n v="44290"/>
    <s v="Low sales in Feb (MTD (to 24/2)  actual sales only 21% at South"/>
    <n v="2909726.568"/>
    <x v="0"/>
    <n v="0"/>
    <n v="0"/>
    <x v="0"/>
    <x v="0"/>
  </r>
  <r>
    <x v="0"/>
    <x v="2"/>
    <n v="44271"/>
    <x v="3"/>
    <x v="0"/>
    <x v="12"/>
    <x v="2"/>
    <x v="18"/>
    <s v="Kim chi cải thảo cắt lát Ông Kim's 300g"/>
    <s v="Hộp"/>
    <n v="3154"/>
    <n v="946.2"/>
    <d v="1899-12-30T07:12:00"/>
    <n v="44291"/>
    <s v="Low sales in Feb (MTD (to 24/2)  actual sales only 21% at South"/>
    <n v="38238656.647799999"/>
    <x v="0"/>
    <n v="0"/>
    <n v="0"/>
    <x v="0"/>
    <x v="0"/>
  </r>
  <r>
    <x v="0"/>
    <x v="2"/>
    <n v="44271"/>
    <x v="3"/>
    <x v="0"/>
    <x v="12"/>
    <x v="2"/>
    <x v="18"/>
    <s v="Kim chi cải thảo cắt lát Ông Kim's 300g"/>
    <s v="Hộp"/>
    <n v="82"/>
    <n v="24.6"/>
    <d v="1899-12-30T07:12:00"/>
    <n v="44292"/>
    <s v="Low sales in Feb (MTD (to 24/2)  actual sales only 21% at South"/>
    <n v="994156.57739999995"/>
    <x v="0"/>
    <n v="0"/>
    <n v="0"/>
    <x v="0"/>
    <x v="0"/>
  </r>
  <r>
    <x v="0"/>
    <x v="2"/>
    <n v="44271"/>
    <x v="3"/>
    <x v="0"/>
    <x v="12"/>
    <x v="2"/>
    <x v="18"/>
    <s v="Kim chi cải thảo cắt lát Ông Kim's 300g"/>
    <s v="Hộp"/>
    <n v="154"/>
    <n v="46.2"/>
    <d v="1899-12-30T07:12:00"/>
    <n v="44304"/>
    <s v="Low sales before Tet (actual sales only 23% vs forecast in 1st week of Feb : actual 0.9 tons vs FC 4tons)"/>
    <n v="1867074.5478000001"/>
    <x v="0"/>
    <n v="0"/>
    <n v="0"/>
    <x v="0"/>
    <x v="0"/>
  </r>
  <r>
    <x v="0"/>
    <x v="2"/>
    <n v="44271"/>
    <x v="5"/>
    <x v="0"/>
    <x v="11"/>
    <x v="2"/>
    <x v="32"/>
    <s v="Chả Lụa Quết Mini - gói 200g"/>
    <s v="GOI"/>
    <n v="5"/>
    <n v="1"/>
    <d v="1899-12-30T04:48:00"/>
    <n v="44289"/>
    <s v="Customers returned"/>
    <n v="55258.919500000004"/>
    <x v="0"/>
    <n v="4"/>
    <n v="44207.135600000001"/>
    <x v="0"/>
    <x v="0"/>
  </r>
  <r>
    <x v="0"/>
    <x v="2"/>
    <n v="44271"/>
    <x v="6"/>
    <x v="0"/>
    <x v="8"/>
    <x v="2"/>
    <x v="28"/>
    <s v="Snack Rong biển Bibigo vị Bắp Mật Ong 25gr"/>
    <s v="Gói"/>
    <n v="40"/>
    <n v="1"/>
    <d v="1899-12-30T00:36:00"/>
    <n v="44342"/>
    <s v="Low sales"/>
    <n v="335418.64800000004"/>
    <x v="0"/>
    <n v="0"/>
    <n v="0"/>
    <x v="0"/>
    <x v="0"/>
  </r>
  <r>
    <x v="0"/>
    <x v="2"/>
    <n v="44271"/>
    <x v="6"/>
    <x v="0"/>
    <x v="8"/>
    <x v="2"/>
    <x v="29"/>
    <s v="Snack Rong biển Bibigo vị Kimchi 25gr"/>
    <s v="GOI"/>
    <n v="40"/>
    <n v="1"/>
    <d v="1899-12-30T00:36:00"/>
    <n v="44342"/>
    <s v="Low sales"/>
    <n v="337327.56800000003"/>
    <x v="0"/>
    <n v="0"/>
    <n v="0"/>
    <x v="0"/>
    <x v="0"/>
  </r>
  <r>
    <x v="0"/>
    <x v="2"/>
    <n v="44281"/>
    <x v="8"/>
    <x v="1"/>
    <x v="22"/>
    <x v="1"/>
    <x v="69"/>
    <s v="Hành lá sấy NFC 140120 -Spring Onion"/>
    <s v="Kg"/>
    <n v="24"/>
    <n v="24"/>
    <d v="1899-12-31T00:00:00"/>
    <n v="44322"/>
    <s v="Small usage vs big MOQ 100kg, average 3kg/months "/>
    <n v="11232000"/>
    <x v="0"/>
    <n v="24"/>
    <n v="11232000"/>
    <x v="0"/>
    <x v="0"/>
  </r>
  <r>
    <x v="0"/>
    <x v="2"/>
    <n v="44281"/>
    <x v="0"/>
    <x v="0"/>
    <x v="18"/>
    <x v="1"/>
    <x v="70"/>
    <s v="Bánh Mandu Tôm CJ - KR,  gói 350gr, 16 gói/thùng  (AUS)"/>
    <s v="Gói"/>
    <n v="9"/>
    <n v="3.15"/>
    <d v="1899-12-30T08:24:00"/>
    <n v="44492"/>
    <s v="Remain items after sampling"/>
    <n v="235332.99999899999"/>
    <x v="0"/>
    <n v="9"/>
    <n v="235332.99999899999"/>
    <x v="0"/>
    <x v="0"/>
  </r>
  <r>
    <x v="0"/>
    <x v="2"/>
    <n v="44281"/>
    <x v="0"/>
    <x v="0"/>
    <x v="18"/>
    <x v="1"/>
    <x v="71"/>
    <s v="Bánh Mini Mandu Tôm CJ - KR,  gói 360gr, 16 gói/thùng  (AUS)"/>
    <s v="Gói"/>
    <n v="5"/>
    <n v="1.7999999999999998"/>
    <d v="1899-12-30T08:38:24"/>
    <n v="44485"/>
    <s v="Remain items after sampling"/>
    <n v="138084"/>
    <x v="0"/>
    <n v="5"/>
    <n v="138084"/>
    <x v="0"/>
    <x v="0"/>
  </r>
  <r>
    <x v="0"/>
    <x v="2"/>
    <n v="44281"/>
    <x v="0"/>
    <x v="0"/>
    <x v="18"/>
    <x v="1"/>
    <x v="72"/>
    <s v="Bánh Mini Mandu Bí Đỏ CJ - KR,  gói 360gr, 16 gói/thùng  (AUS)"/>
    <s v="Gói"/>
    <n v="9"/>
    <n v="3.24"/>
    <d v="1899-12-30T08:38:24"/>
    <n v="44486"/>
    <s v="Remain items after sampling"/>
    <n v="115363.27971899998"/>
    <x v="0"/>
    <n v="9"/>
    <n v="115363.27971899998"/>
    <x v="0"/>
    <x v="0"/>
  </r>
  <r>
    <x v="0"/>
    <x v="2"/>
    <n v="44281"/>
    <x v="0"/>
    <x v="0"/>
    <x v="18"/>
    <x v="1"/>
    <x v="73"/>
    <s v="Bánh Mandu Rau CJ - KR,  gói 350gr, 16 gói/thùng  (AUS)"/>
    <s v="Gói"/>
    <n v="9"/>
    <n v="3.15"/>
    <d v="1899-12-30T08:24:00"/>
    <n v="44491"/>
    <s v="Remain items after sampling"/>
    <n v="110719.999998"/>
    <x v="0"/>
    <n v="9"/>
    <n v="110719.999998"/>
    <x v="0"/>
    <x v="0"/>
  </r>
  <r>
    <x v="0"/>
    <x v="2"/>
    <n v="44281"/>
    <x v="3"/>
    <x v="0"/>
    <x v="12"/>
    <x v="2"/>
    <x v="31"/>
    <s v="bibigo Kimchi cải thảo - ngò 100gr"/>
    <s v="Túi"/>
    <n v="25"/>
    <n v="2.5"/>
    <d v="1899-12-30T02:24:00"/>
    <n v="44303"/>
    <s v="Sales under FC"/>
    <n v="66820.112500000003"/>
    <x v="0"/>
    <n v="0"/>
    <n v="0"/>
    <x v="0"/>
    <x v="0"/>
  </r>
  <r>
    <x v="0"/>
    <x v="2"/>
    <n v="44281"/>
    <x v="5"/>
    <x v="0"/>
    <x v="11"/>
    <x v="2"/>
    <x v="56"/>
    <s v="Chả Cá quết - Chả Cá Dây Kiểu Vũng Tàu 265g"/>
    <s v="Gói"/>
    <n v="1"/>
    <n v="0.26500000000000001"/>
    <d v="1899-12-30T06:21:36"/>
    <n v="44306"/>
    <s v="Sales under FC"/>
    <n v="18800"/>
    <x v="0"/>
    <n v="0"/>
    <n v="0"/>
    <x v="0"/>
    <x v="0"/>
  </r>
  <r>
    <x v="0"/>
    <x v="2"/>
    <n v="44281"/>
    <x v="2"/>
    <x v="0"/>
    <x v="2"/>
    <x v="2"/>
    <x v="7"/>
    <s v="Nước Uống Collagen Innerb Glowshot ((50ML*6EA)*10EA/CT)"/>
    <s v="Hộp"/>
    <n v="4"/>
    <n v="1.2"/>
    <d v="1899-12-30T07:12:00"/>
    <n v="44308"/>
    <s v="Returned from customers"/>
    <n v="164185.25599999999"/>
    <x v="0"/>
    <n v="0"/>
    <n v="0"/>
    <x v="0"/>
    <x v="0"/>
  </r>
  <r>
    <x v="0"/>
    <x v="2"/>
    <n v="44281"/>
    <x v="2"/>
    <x v="0"/>
    <x v="2"/>
    <x v="2"/>
    <x v="7"/>
    <s v="Nước Uống Collagen Innerb Glowshot ((50ML*6EA)*10EA/CT)"/>
    <s v="Hộp"/>
    <n v="19"/>
    <n v="5.7"/>
    <d v="1899-12-30T07:12:00"/>
    <n v="44341"/>
    <s v="Returned from customers"/>
    <n v="779879.96600000001"/>
    <x v="0"/>
    <n v="0"/>
    <n v="0"/>
    <x v="0"/>
    <x v="0"/>
  </r>
  <r>
    <x v="0"/>
    <x v="2"/>
    <n v="44281"/>
    <x v="2"/>
    <x v="0"/>
    <x v="2"/>
    <x v="2"/>
    <x v="7"/>
    <s v="Nước Uống Collagen Innerb Glowshot ((50ML*6EA)*10EA/CT)"/>
    <s v="Hộp"/>
    <n v="89"/>
    <n v="26.7"/>
    <d v="1899-12-30T07:12:00"/>
    <n v="44368"/>
    <s v="Returned from customers"/>
    <n v="3653121.946"/>
    <x v="0"/>
    <n v="0"/>
    <n v="0"/>
    <x v="0"/>
    <x v="0"/>
  </r>
  <r>
    <x v="0"/>
    <x v="2"/>
    <n v="44281"/>
    <x v="2"/>
    <x v="0"/>
    <x v="2"/>
    <x v="2"/>
    <x v="7"/>
    <s v="Nước Uống Collagen Innerb Glowshot ((50ML*6EA)*10EA/CT)"/>
    <s v="Hộp"/>
    <n v="112"/>
    <n v="33.6"/>
    <d v="1899-12-30T07:12:00"/>
    <n v="44389"/>
    <s v="Returned from customers"/>
    <n v="4597187.1679999996"/>
    <x v="0"/>
    <n v="0"/>
    <n v="0"/>
    <x v="0"/>
    <x v="0"/>
  </r>
  <r>
    <x v="0"/>
    <x v="2"/>
    <n v="44281"/>
    <x v="5"/>
    <x v="0"/>
    <x v="6"/>
    <x v="2"/>
    <x v="74"/>
    <s v="Chả Bò Quết Thượng Hạng 500g (mát)"/>
    <s v="Gói"/>
    <n v="105"/>
    <n v="52.5"/>
    <d v="1899-12-30T12:00:00"/>
    <n v="44303"/>
    <s v="Sales under FC"/>
    <n v="7233345.0420000004"/>
    <x v="0"/>
    <n v="87"/>
    <n v="5993343.0348000005"/>
    <x v="0"/>
    <x v="0"/>
  </r>
  <r>
    <x v="0"/>
    <x v="3"/>
    <n v="44291"/>
    <x v="8"/>
    <x v="0"/>
    <x v="22"/>
    <x v="1"/>
    <x v="75"/>
    <s v="Mực Nang size 8-12 BTP"/>
    <s v="Kg"/>
    <n v="2000"/>
    <n v="2000"/>
    <d v="1899-12-31T00:00:00"/>
    <n v="44327"/>
    <s v="Burned Factory. No production site for Mandu"/>
    <n v="153020000"/>
    <x v="0"/>
    <n v="0"/>
    <n v="0"/>
    <x v="0"/>
    <x v="0"/>
  </r>
  <r>
    <x v="0"/>
    <x v="3"/>
    <n v="44291"/>
    <x v="3"/>
    <x v="0"/>
    <x v="12"/>
    <x v="2"/>
    <x v="54"/>
    <s v="bibigo Kimchi cải thảo cắt lát 1,2kg"/>
    <s v="Hũ"/>
    <n v="63"/>
    <n v="75.599999999999994"/>
    <d v="1899-12-31T04:48:00"/>
    <n v="44318"/>
    <s v="Return from distributor"/>
    <n v="1730152.0341"/>
    <x v="0"/>
    <n v="15"/>
    <n v="411940.96049999999"/>
    <x v="0"/>
    <x v="0"/>
  </r>
  <r>
    <x v="0"/>
    <x v="3"/>
    <n v="44291"/>
    <x v="3"/>
    <x v="0"/>
    <x v="12"/>
    <x v="2"/>
    <x v="68"/>
    <s v="bibigo Kimchi cải thảo - ngò 500gr"/>
    <s v="Hộp"/>
    <n v="420"/>
    <n v="210"/>
    <d v="1899-12-30T12:00:00"/>
    <n v="44317"/>
    <s v="Low sales vs FC"/>
    <n v="7156332.2459999993"/>
    <x v="0"/>
    <n v="0"/>
    <n v="0"/>
    <x v="0"/>
    <x v="0"/>
  </r>
  <r>
    <x v="0"/>
    <x v="3"/>
    <n v="44291"/>
    <x v="3"/>
    <x v="0"/>
    <x v="12"/>
    <x v="2"/>
    <x v="68"/>
    <s v="bibigo Kimchi cải thảo - ngò 500gr"/>
    <s v="Hộp"/>
    <n v="1824"/>
    <n v="912"/>
    <d v="1899-12-30T12:00:00"/>
    <n v="44324"/>
    <s v="Low sales vs FC"/>
    <n v="31078928.611199997"/>
    <x v="0"/>
    <n v="0"/>
    <n v="0"/>
    <x v="0"/>
    <x v="0"/>
  </r>
  <r>
    <x v="0"/>
    <x v="3"/>
    <n v="44291"/>
    <x v="5"/>
    <x v="0"/>
    <x v="11"/>
    <x v="2"/>
    <x v="76"/>
    <s v="Chả Lụa 3 Khỏe 500g – mát"/>
    <s v="Cây"/>
    <n v="162"/>
    <n v="81"/>
    <d v="1899-12-30T12:00:00"/>
    <n v="44318"/>
    <s v="Make to order, low sales"/>
    <n v="5740590.4146000007"/>
    <x v="0"/>
    <n v="105"/>
    <n v="3720753.0465000002"/>
    <x v="0"/>
    <x v="0"/>
  </r>
  <r>
    <x v="0"/>
    <x v="3"/>
    <n v="44291"/>
    <x v="5"/>
    <x v="0"/>
    <x v="11"/>
    <x v="2"/>
    <x v="32"/>
    <s v="Chả Lụa Quết Mini - gói 200g"/>
    <s v="Gói"/>
    <n v="31"/>
    <n v="6.2"/>
    <d v="1899-12-30T04:48:00"/>
    <n v="44317"/>
    <s v="Make to order, low sales"/>
    <n v="342605.30090000003"/>
    <x v="0"/>
    <n v="30"/>
    <n v="331553.51699999999"/>
    <x v="0"/>
    <x v="0"/>
  </r>
  <r>
    <x v="0"/>
    <x v="3"/>
    <n v="44291"/>
    <x v="5"/>
    <x v="0"/>
    <x v="23"/>
    <x v="2"/>
    <x v="77"/>
    <s v="Xúc xích heo vị Mexico hiệu REAL 200g"/>
    <s v="Gói"/>
    <n v="26"/>
    <n v="5.2"/>
    <d v="1899-12-30T04:48:00"/>
    <n v="44319"/>
    <s v="Pending transportation contract"/>
    <n v="504759.93099999998"/>
    <x v="0"/>
    <n v="26"/>
    <n v="504759.93099999998"/>
    <x v="0"/>
    <x v="0"/>
  </r>
  <r>
    <x v="0"/>
    <x v="3"/>
    <n v="44291"/>
    <x v="5"/>
    <x v="0"/>
    <x v="1"/>
    <x v="2"/>
    <x v="78"/>
    <s v="Ohya Tokboki chả cá - Xốt Tok Tok Siêu Cay 180g"/>
    <s v="Khay"/>
    <n v="89"/>
    <n v="16.02"/>
    <d v="1899-12-30T04:19:12"/>
    <n v="44440"/>
    <s v="De-MKT"/>
    <n v="1373573.7481"/>
    <x v="0"/>
    <n v="15"/>
    <n v="231501.19349999999"/>
    <x v="0"/>
    <x v="0"/>
  </r>
  <r>
    <x v="0"/>
    <x v="3"/>
    <n v="44291"/>
    <x v="5"/>
    <x v="0"/>
    <x v="6"/>
    <x v="2"/>
    <x v="74"/>
    <s v="Chả Bò Quết Thượng Hạng 500g (mát)"/>
    <s v="Gói"/>
    <n v="144"/>
    <n v="72"/>
    <d v="1899-12-30T12:00:00"/>
    <n v="44311"/>
    <s v="Stock on system is error, so build stock wrong"/>
    <n v="9920016.0576000009"/>
    <x v="0"/>
    <n v="144"/>
    <n v="9920016.0576000009"/>
    <x v="0"/>
    <x v="0"/>
  </r>
  <r>
    <x v="0"/>
    <x v="3"/>
    <n v="44291"/>
    <x v="5"/>
    <x v="0"/>
    <x v="11"/>
    <x v="2"/>
    <x v="79"/>
    <s v="Chả Bò Quết Nhất Phẩm 200g"/>
    <s v="Gói"/>
    <n v="440"/>
    <n v="88"/>
    <d v="1899-12-30T04:48:00"/>
    <n v="44320"/>
    <s v="Make to order, low sales"/>
    <n v="10566600"/>
    <x v="0"/>
    <n v="440"/>
    <n v="10566600"/>
    <x v="0"/>
    <x v="0"/>
  </r>
  <r>
    <x v="0"/>
    <x v="3"/>
    <n v="44299"/>
    <x v="3"/>
    <x v="0"/>
    <x v="12"/>
    <x v="0"/>
    <x v="42"/>
    <s v="Dưa cải 200G"/>
    <s v="Gói"/>
    <n v="15"/>
    <n v="3"/>
    <d v="1899-12-30T04:48:00"/>
    <n v="44318"/>
    <s v="Returned from distributors"/>
    <n v="57791.203500000003"/>
    <x v="0"/>
    <n v="15"/>
    <n v="57791.203500000003"/>
    <x v="0"/>
    <x v="0"/>
  </r>
  <r>
    <x v="0"/>
    <x v="3"/>
    <n v="44299"/>
    <x v="8"/>
    <x v="1"/>
    <x v="22"/>
    <x v="1"/>
    <x v="75"/>
    <s v="Mực Nang size 8-12 BTP"/>
    <s v="Kg"/>
    <n v="5000"/>
    <n v="5000"/>
    <d v="1899-12-31T00:00:00"/>
    <n v="44327"/>
    <s v="Burned Factory. No production site for Mandu"/>
    <n v="382550000"/>
    <x v="0"/>
    <n v="4210"/>
    <n v="322107100"/>
    <x v="0"/>
    <x v="0"/>
  </r>
  <r>
    <x v="0"/>
    <x v="3"/>
    <n v="44299"/>
    <x v="3"/>
    <x v="0"/>
    <x v="12"/>
    <x v="2"/>
    <x v="41"/>
    <s v="bibigo Kimchi cải thảo chay 500gr"/>
    <s v="Hộp"/>
    <n v="46"/>
    <n v="23"/>
    <d v="1899-12-30T12:00:00"/>
    <n v="44321"/>
    <s v="Low sales (Actual sales Mar 67% vs FC)"/>
    <n v="768955.47640000004"/>
    <x v="0"/>
    <n v="0"/>
    <n v="0"/>
    <x v="0"/>
    <x v="0"/>
  </r>
  <r>
    <x v="0"/>
    <x v="3"/>
    <n v="44299"/>
    <x v="1"/>
    <x v="0"/>
    <x v="24"/>
    <x v="2"/>
    <x v="80"/>
    <s v="Cầu Tre I'm Cháo Gourmet / Cháo Tươi Bò Úc Hầm Rau Củ - túi 250g"/>
    <s v="TUI"/>
    <n v="751"/>
    <n v="187.75"/>
    <d v="1899-12-30T06:00:00"/>
    <n v="44484"/>
    <s v="Low sales"/>
    <n v="8124318"/>
    <x v="0"/>
    <n v="651"/>
    <n v="7042518"/>
    <x v="0"/>
    <x v="0"/>
  </r>
  <r>
    <x v="0"/>
    <x v="3"/>
    <n v="44306"/>
    <x v="5"/>
    <x v="0"/>
    <x v="11"/>
    <x v="0"/>
    <x v="26"/>
    <s v="Chả cá viên 500g"/>
    <s v="Túi"/>
    <n v="76"/>
    <n v="38"/>
    <d v="1899-12-30T12:00:00"/>
    <n v="44318"/>
    <s v="Low Sales"/>
    <n v="2045011.8684"/>
    <x v="0"/>
    <n v="76"/>
    <n v="2045011.8684"/>
    <x v="0"/>
    <x v="0"/>
  </r>
  <r>
    <x v="0"/>
    <x v="3"/>
    <n v="44306"/>
    <x v="5"/>
    <x v="0"/>
    <x v="3"/>
    <x v="0"/>
    <x v="27"/>
    <s v="Bò viên ngon Cầu Tre 500gr"/>
    <s v="Gói"/>
    <n v="8"/>
    <n v="4"/>
    <d v="1899-12-30T12:00:00"/>
    <n v="44340"/>
    <s v="Leakage, Return from distributors, QC confirms for Internal sales"/>
    <n v="281149.60399999999"/>
    <x v="0"/>
    <n v="8"/>
    <n v="281149.60399999999"/>
    <x v="0"/>
    <x v="0"/>
  </r>
  <r>
    <x v="0"/>
    <x v="3"/>
    <n v="44306"/>
    <x v="5"/>
    <x v="0"/>
    <x v="3"/>
    <x v="0"/>
    <x v="27"/>
    <s v="Bò viên ngon Cầu Tre 500gr"/>
    <s v="Gói"/>
    <n v="3"/>
    <n v="1.5"/>
    <d v="1899-12-30T12:00:00"/>
    <n v="44340"/>
    <s v="Leakage, Return from distributors, QC confirms for Internal sales"/>
    <n v="105431.1015"/>
    <x v="0"/>
    <n v="3"/>
    <n v="105431.1015"/>
    <x v="0"/>
    <x v="0"/>
  </r>
  <r>
    <x v="0"/>
    <x v="3"/>
    <n v="44306"/>
    <x v="5"/>
    <x v="0"/>
    <x v="3"/>
    <x v="0"/>
    <x v="27"/>
    <s v="Bò viên ngon Cầu Tre 500gr"/>
    <s v="Gói"/>
    <n v="3"/>
    <n v="1.5"/>
    <d v="1899-12-30T12:00:00"/>
    <n v="44340"/>
    <s v="Leakage, Return from distributors, QC confirms for Internal sales"/>
    <n v="105431.1015"/>
    <x v="0"/>
    <n v="3"/>
    <n v="105431.1015"/>
    <x v="0"/>
    <x v="0"/>
  </r>
  <r>
    <x v="0"/>
    <x v="3"/>
    <n v="44306"/>
    <x v="5"/>
    <x v="0"/>
    <x v="3"/>
    <x v="0"/>
    <x v="27"/>
    <s v="Bò viên ngon Cầu Tre 500gr"/>
    <s v="Gói"/>
    <n v="3"/>
    <n v="1.5"/>
    <d v="1899-12-30T12:00:00"/>
    <n v="44340"/>
    <s v="Leakage, Return from distributors, QC confirms for Internal sales"/>
    <n v="105431.1015"/>
    <x v="0"/>
    <n v="3"/>
    <n v="105431.1015"/>
    <x v="0"/>
    <x v="0"/>
  </r>
  <r>
    <x v="0"/>
    <x v="3"/>
    <n v="44306"/>
    <x v="5"/>
    <x v="0"/>
    <x v="3"/>
    <x v="0"/>
    <x v="27"/>
    <s v="Bò viên ngon Cầu Tre 500gr"/>
    <s v="Gói"/>
    <n v="7"/>
    <n v="3.5"/>
    <d v="1899-12-30T12:00:00"/>
    <n v="44455"/>
    <s v="Leakage, Return from distributors, QC confirms for Internal sales"/>
    <n v="246005.90349999999"/>
    <x v="0"/>
    <n v="7"/>
    <n v="246005.90349999999"/>
    <x v="0"/>
    <x v="0"/>
  </r>
  <r>
    <x v="0"/>
    <x v="3"/>
    <n v="44306"/>
    <x v="5"/>
    <x v="0"/>
    <x v="3"/>
    <x v="0"/>
    <x v="27"/>
    <s v="Bò viên ngon Cầu Tre 500gr"/>
    <s v="Gói"/>
    <n v="1"/>
    <n v="0.5"/>
    <d v="1899-12-30T12:00:00"/>
    <n v="44567"/>
    <s v="Leakage, Return from distributors, QC confirms for Internal sales"/>
    <n v="35143.700499999999"/>
    <x v="0"/>
    <n v="1"/>
    <n v="35143.700499999999"/>
    <x v="0"/>
    <x v="0"/>
  </r>
  <r>
    <x v="0"/>
    <x v="3"/>
    <n v="44306"/>
    <x v="5"/>
    <x v="0"/>
    <x v="3"/>
    <x v="0"/>
    <x v="27"/>
    <s v="Bò viên ngon Cầu Tre 500gr"/>
    <s v="Gói"/>
    <n v="2"/>
    <n v="1"/>
    <d v="1899-12-30T12:00:00"/>
    <n v="44579"/>
    <s v="Leakage, Return from distributors, QC confirms for Internal sales"/>
    <n v="70287.400999999998"/>
    <x v="0"/>
    <n v="2"/>
    <n v="70287.400999999998"/>
    <x v="0"/>
    <x v="0"/>
  </r>
  <r>
    <x v="0"/>
    <x v="3"/>
    <n v="44306"/>
    <x v="5"/>
    <x v="0"/>
    <x v="3"/>
    <x v="0"/>
    <x v="27"/>
    <s v="Bò viên ngon Cầu Tre 500gr"/>
    <s v="Gói"/>
    <n v="1"/>
    <n v="0.5"/>
    <d v="1899-12-30T12:00:00"/>
    <n v="44583"/>
    <s v="Leakage, Return from distributors, QC confirms for Internal sales"/>
    <n v="35143.700499999999"/>
    <x v="0"/>
    <n v="1"/>
    <n v="35143.700499999999"/>
    <x v="0"/>
    <x v="0"/>
  </r>
  <r>
    <x v="0"/>
    <x v="3"/>
    <n v="44306"/>
    <x v="5"/>
    <x v="0"/>
    <x v="3"/>
    <x v="0"/>
    <x v="27"/>
    <s v="Bò viên ngon Cầu Tre 500gr"/>
    <s v="Gói"/>
    <n v="3"/>
    <n v="1.5"/>
    <d v="1899-12-30T12:00:00"/>
    <n v="44594"/>
    <s v="Leakage, Return from distributors, QC confirms for Internal sales"/>
    <n v="105431.1015"/>
    <x v="0"/>
    <n v="3"/>
    <n v="105431.1015"/>
    <x v="0"/>
    <x v="0"/>
  </r>
  <r>
    <x v="0"/>
    <x v="3"/>
    <n v="44306"/>
    <x v="5"/>
    <x v="0"/>
    <x v="3"/>
    <x v="0"/>
    <x v="27"/>
    <s v="Bò viên ngon Cầu Tre 500gr"/>
    <s v="Gói"/>
    <n v="1"/>
    <n v="0.5"/>
    <d v="1899-12-30T12:00:00"/>
    <n v="44623"/>
    <s v="Leakage, Return from distributors, QC confirms for Internal sales"/>
    <n v="35143.700499999999"/>
    <x v="0"/>
    <n v="1"/>
    <n v="35143.700499999999"/>
    <x v="0"/>
    <x v="0"/>
  </r>
  <r>
    <x v="0"/>
    <x v="3"/>
    <n v="44306"/>
    <x v="5"/>
    <x v="0"/>
    <x v="3"/>
    <x v="0"/>
    <x v="46"/>
    <s v="Cá viên ngon Cầu Tre 500gr"/>
    <s v="Gói"/>
    <n v="1"/>
    <n v="0.5"/>
    <d v="1899-12-30T12:00:00"/>
    <n v="44574"/>
    <s v="Leakage, Return from distributors, QC confirms for Internal sales"/>
    <n v="16404.0684"/>
    <x v="0"/>
    <n v="1"/>
    <n v="16404.0684"/>
    <x v="0"/>
    <x v="0"/>
  </r>
  <r>
    <x v="0"/>
    <x v="3"/>
    <n v="44306"/>
    <x v="5"/>
    <x v="0"/>
    <x v="3"/>
    <x v="0"/>
    <x v="46"/>
    <s v="Cá viên ngon Cầu Tre 500gr"/>
    <s v="Gói"/>
    <n v="9"/>
    <n v="4.5"/>
    <d v="1899-12-30T12:00:00"/>
    <n v="44583"/>
    <s v="Leakage, Return from distributors, QC confirms for Internal sales"/>
    <n v="147636.61559999999"/>
    <x v="0"/>
    <n v="9"/>
    <n v="147636.61559999999"/>
    <x v="0"/>
    <x v="0"/>
  </r>
  <r>
    <x v="0"/>
    <x v="3"/>
    <n v="44306"/>
    <x v="5"/>
    <x v="0"/>
    <x v="3"/>
    <x v="0"/>
    <x v="46"/>
    <s v="Cá viên ngon Cầu Tre 500gr"/>
    <s v="Gói"/>
    <n v="13"/>
    <n v="6.5"/>
    <d v="1899-12-30T12:00:00"/>
    <n v="44591"/>
    <s v="Leakage, Return from distributors, QC confirms for Internal sales"/>
    <n v="213252.88920000001"/>
    <x v="0"/>
    <n v="13"/>
    <n v="213252.88920000001"/>
    <x v="0"/>
    <x v="0"/>
  </r>
  <r>
    <x v="0"/>
    <x v="3"/>
    <n v="44306"/>
    <x v="5"/>
    <x v="0"/>
    <x v="3"/>
    <x v="0"/>
    <x v="46"/>
    <s v="Cá viên ngon Cầu Tre 500gr"/>
    <s v="Gói"/>
    <n v="13"/>
    <n v="6.5"/>
    <d v="1899-12-30T12:00:00"/>
    <n v="44591"/>
    <s v="Leakage, Return from distributors, QC confirms for Internal sales"/>
    <n v="213252.88920000001"/>
    <x v="0"/>
    <n v="13"/>
    <n v="213252.88920000001"/>
    <x v="0"/>
    <x v="0"/>
  </r>
  <r>
    <x v="0"/>
    <x v="3"/>
    <n v="44306"/>
    <x v="5"/>
    <x v="0"/>
    <x v="3"/>
    <x v="0"/>
    <x v="46"/>
    <s v="Cá viên ngon Cầu Tre 500gr"/>
    <s v="Gói"/>
    <n v="16"/>
    <n v="8"/>
    <d v="1899-12-30T12:00:00"/>
    <n v="44595"/>
    <s v="Leakage, Return from distributors, QC confirms for Internal sales"/>
    <n v="262465.0944"/>
    <x v="0"/>
    <n v="16"/>
    <n v="262465.0944"/>
    <x v="0"/>
    <x v="0"/>
  </r>
  <r>
    <x v="0"/>
    <x v="3"/>
    <n v="44306"/>
    <x v="5"/>
    <x v="0"/>
    <x v="3"/>
    <x v="0"/>
    <x v="46"/>
    <s v="Cá viên ngon Cầu Tre 500gr"/>
    <s v="Gói"/>
    <n v="48"/>
    <n v="24"/>
    <d v="1899-12-30T12:00:00"/>
    <n v="44595"/>
    <s v="Leakage, Return from distributors, QC confirms for Internal sales"/>
    <n v="787395.28319999995"/>
    <x v="0"/>
    <n v="48"/>
    <n v="787395.28319999995"/>
    <x v="0"/>
    <x v="0"/>
  </r>
  <r>
    <x v="0"/>
    <x v="3"/>
    <n v="44306"/>
    <x v="5"/>
    <x v="0"/>
    <x v="3"/>
    <x v="0"/>
    <x v="46"/>
    <s v="Cá viên ngon Cầu Tre 500gr"/>
    <s v="Gói"/>
    <n v="53"/>
    <n v="26.5"/>
    <d v="1899-12-30T12:00:00"/>
    <n v="44595"/>
    <s v="Leakage, Return from distributors, QC confirms for Internal sales"/>
    <n v="869415.62520000001"/>
    <x v="0"/>
    <n v="53"/>
    <n v="869415.62520000001"/>
    <x v="0"/>
    <x v="0"/>
  </r>
  <r>
    <x v="0"/>
    <x v="3"/>
    <n v="44306"/>
    <x v="5"/>
    <x v="0"/>
    <x v="3"/>
    <x v="0"/>
    <x v="46"/>
    <s v="Cá viên ngon Cầu Tre 500gr"/>
    <s v="Gói"/>
    <n v="49"/>
    <n v="24.5"/>
    <d v="1899-12-30T12:00:00"/>
    <n v="44595"/>
    <s v="Leakage, Return from distributors, QC confirms for Internal sales"/>
    <n v="803799.35160000005"/>
    <x v="0"/>
    <n v="49"/>
    <n v="803799.35160000005"/>
    <x v="0"/>
    <x v="0"/>
  </r>
  <r>
    <x v="0"/>
    <x v="3"/>
    <n v="44306"/>
    <x v="5"/>
    <x v="0"/>
    <x v="3"/>
    <x v="0"/>
    <x v="46"/>
    <s v="Cá viên ngon Cầu Tre 500gr"/>
    <s v="Gói"/>
    <n v="5"/>
    <n v="2.5"/>
    <d v="1899-12-30T12:00:00"/>
    <n v="44597"/>
    <s v="Leakage, Return from distributors, QC confirms for Internal sales"/>
    <n v="82020.342000000004"/>
    <x v="0"/>
    <n v="5"/>
    <n v="82020.342000000004"/>
    <x v="0"/>
    <x v="0"/>
  </r>
  <r>
    <x v="0"/>
    <x v="3"/>
    <n v="44306"/>
    <x v="5"/>
    <x v="0"/>
    <x v="3"/>
    <x v="0"/>
    <x v="46"/>
    <s v="Cá viên ngon Cầu Tre 500gr"/>
    <s v="Gói"/>
    <n v="1"/>
    <n v="0.5"/>
    <d v="1899-12-30T12:00:00"/>
    <n v="44597"/>
    <s v="Leakage, Return from distributors, QC confirms for Internal sales"/>
    <n v="16404.0684"/>
    <x v="0"/>
    <n v="1"/>
    <n v="16404.0684"/>
    <x v="0"/>
    <x v="0"/>
  </r>
  <r>
    <x v="0"/>
    <x v="3"/>
    <n v="44306"/>
    <x v="5"/>
    <x v="0"/>
    <x v="3"/>
    <x v="0"/>
    <x v="46"/>
    <s v="Cá viên ngon Cầu Tre 500gr"/>
    <s v="Gói"/>
    <n v="10"/>
    <n v="5"/>
    <d v="1899-12-30T12:00:00"/>
    <n v="44597"/>
    <s v="Leakage, Return from distributors, QC confirms for Internal sales"/>
    <n v="164040.68400000001"/>
    <x v="0"/>
    <n v="10"/>
    <n v="164040.68400000001"/>
    <x v="0"/>
    <x v="0"/>
  </r>
  <r>
    <x v="0"/>
    <x v="3"/>
    <n v="44306"/>
    <x v="5"/>
    <x v="0"/>
    <x v="3"/>
    <x v="0"/>
    <x v="46"/>
    <s v="Cá viên ngon Cầu Tre 500gr"/>
    <s v="Gói"/>
    <n v="5"/>
    <n v="2.5"/>
    <d v="1899-12-30T12:00:00"/>
    <n v="44615"/>
    <s v="Leakage, Return from distributors, QC confirms for Internal sales"/>
    <n v="82020.342000000004"/>
    <x v="0"/>
    <n v="5"/>
    <n v="82020.342000000004"/>
    <x v="0"/>
    <x v="0"/>
  </r>
  <r>
    <x v="0"/>
    <x v="3"/>
    <n v="44306"/>
    <x v="3"/>
    <x v="0"/>
    <x v="12"/>
    <x v="2"/>
    <x v="54"/>
    <s v="bibigo Kimchi cải thảo cắt lát 1,2kg"/>
    <s v="Hũ"/>
    <n v="17"/>
    <n v="20.399999999999999"/>
    <d v="1899-12-31T04:48:00"/>
    <n v="44332"/>
    <s v="Low Sales"/>
    <n v="482336.42190000002"/>
    <x v="0"/>
    <n v="0"/>
    <n v="0"/>
    <x v="0"/>
    <x v="0"/>
  </r>
  <r>
    <x v="0"/>
    <x v="3"/>
    <n v="44306"/>
    <x v="5"/>
    <x v="0"/>
    <x v="23"/>
    <x v="2"/>
    <x v="77"/>
    <s v="Xúc xích heo vị Mexico hiệu REAL 200g"/>
    <s v="GOI"/>
    <n v="738"/>
    <n v="147.6"/>
    <d v="1899-12-30T04:48:00"/>
    <n v="44331"/>
    <s v="Low Sales"/>
    <n v="15629027.103"/>
    <x v="0"/>
    <n v="738"/>
    <n v="15629027.103"/>
    <x v="0"/>
    <x v="0"/>
  </r>
  <r>
    <x v="0"/>
    <x v="3"/>
    <n v="44306"/>
    <x v="5"/>
    <x v="0"/>
    <x v="11"/>
    <x v="2"/>
    <x v="9"/>
    <s v="Chả Lụa Quết Thượng Hạng 500G (mát)"/>
    <s v="Gói"/>
    <n v="573"/>
    <n v="286.5"/>
    <d v="1899-12-30T12:00:00"/>
    <n v="44350"/>
    <s v="Low Sales"/>
    <n v="14521825.729200002"/>
    <x v="0"/>
    <n v="431"/>
    <n v="10923048.6724"/>
    <x v="0"/>
    <x v="0"/>
  </r>
  <r>
    <x v="0"/>
    <x v="3"/>
    <n v="44306"/>
    <x v="5"/>
    <x v="0"/>
    <x v="11"/>
    <x v="2"/>
    <x v="9"/>
    <s v="Chả Lụa Quết Thượng Hạng 500G (mát)"/>
    <s v="Gói"/>
    <n v="588"/>
    <n v="294"/>
    <d v="1899-12-30T12:00:00"/>
    <n v="44352"/>
    <s v="Low Sales"/>
    <n v="14901978.235200005"/>
    <x v="0"/>
    <n v="588"/>
    <n v="14901978.235200005"/>
    <x v="0"/>
    <x v="0"/>
  </r>
  <r>
    <x v="0"/>
    <x v="3"/>
    <n v="44313"/>
    <x v="3"/>
    <x v="0"/>
    <x v="12"/>
    <x v="0"/>
    <x v="53"/>
    <s v="Kim chi cải thảo cắt lát Ông Kim's 5Kg-GGG"/>
    <s v="Túi"/>
    <n v="2"/>
    <n v="10"/>
    <d v="1900-01-04T00:00:00"/>
    <n v="44342"/>
    <s v="Fading expiry date"/>
    <n v="228292.16440000001"/>
    <x v="0"/>
    <n v="1"/>
    <n v="114146.0822"/>
    <x v="0"/>
    <x v="0"/>
  </r>
  <r>
    <x v="0"/>
    <x v="3"/>
    <n v="44313"/>
    <x v="0"/>
    <x v="0"/>
    <x v="3"/>
    <x v="1"/>
    <x v="81"/>
    <s v="Hoành thánh tôm sốt cay 30gr/cái - Hộp 207g (2.48kg/thùng) (12 hộp)"/>
    <s v="Khay"/>
    <n v="1113"/>
    <n v="230.39099999999999"/>
    <d v="1899-12-30T04:58:05"/>
    <n v="45080"/>
    <s v="Quality issue"/>
    <n v="27579740.432999998"/>
    <x v="0"/>
    <n v="1113"/>
    <n v="27579740.432999998"/>
    <x v="0"/>
    <x v="0"/>
  </r>
  <r>
    <x v="0"/>
    <x v="3"/>
    <n v="44313"/>
    <x v="7"/>
    <x v="0"/>
    <x v="13"/>
    <x v="2"/>
    <x v="82"/>
    <s v="Bột Chiên Giòn 150g"/>
    <s v="Túi"/>
    <n v="321"/>
    <n v="48.15"/>
    <d v="1899-12-30T03:36:00"/>
    <n v="44433"/>
    <s v="Returned from distributors"/>
    <n v="950493.00540000002"/>
    <x v="0"/>
    <n v="321"/>
    <n v="950493.00540000002"/>
    <x v="0"/>
    <x v="0"/>
  </r>
  <r>
    <x v="0"/>
    <x v="3"/>
    <n v="44313"/>
    <x v="0"/>
    <x v="0"/>
    <x v="18"/>
    <x v="2"/>
    <x v="83"/>
    <s v="BIBIGO Há cảo hấp 168G"/>
    <s v="Gói"/>
    <n v="18"/>
    <n v="3.024"/>
    <d v="1899-12-30T04:01:55"/>
    <n v="44389"/>
    <s v="Import-Sale as normal"/>
    <n v="349051.44960000005"/>
    <x v="0"/>
    <n v="18"/>
    <n v="349051.44960000005"/>
    <x v="0"/>
    <x v="0"/>
  </r>
  <r>
    <x v="0"/>
    <x v="3"/>
    <n v="44313"/>
    <x v="5"/>
    <x v="0"/>
    <x v="23"/>
    <x v="2"/>
    <x v="84"/>
    <s v="Xúc xích heo vị Mexico (mini) hiệu REAL Gói 200g"/>
    <s v="GOI"/>
    <n v="16"/>
    <n v="3.2"/>
    <d v="1899-12-30T04:48:00"/>
    <n v="44330"/>
    <s v="MTO; Low Sales"/>
    <n v="323651.69760000001"/>
    <x v="0"/>
    <n v="16"/>
    <n v="323651.69760000001"/>
    <x v="0"/>
    <x v="0"/>
  </r>
  <r>
    <x v="0"/>
    <x v="3"/>
    <n v="44313"/>
    <x v="5"/>
    <x v="0"/>
    <x v="23"/>
    <x v="2"/>
    <x v="84"/>
    <s v="Xúc xích heo vị Mexico (mini) hiệu REAL Gói 200g"/>
    <s v="GOI"/>
    <n v="576"/>
    <n v="115.2"/>
    <d v="1899-12-30T04:48:00"/>
    <n v="44337"/>
    <s v="MTO; Low Sales"/>
    <n v="6467461.1136000007"/>
    <x v="0"/>
    <n v="564"/>
    <n v="6332722.3404000001"/>
    <x v="0"/>
    <x v="0"/>
  </r>
  <r>
    <x v="0"/>
    <x v="3"/>
    <n v="44313"/>
    <x v="5"/>
    <x v="0"/>
    <x v="23"/>
    <x v="2"/>
    <x v="77"/>
    <s v="Xúc xích heo vị Mexico hiệu REAL 200g"/>
    <s v="GOI"/>
    <n v="540"/>
    <n v="108"/>
    <d v="1899-12-30T04:48:00"/>
    <n v="44337"/>
    <s v="MTO; Low Sales"/>
    <n v="11023475.49"/>
    <x v="0"/>
    <n v="304"/>
    <n v="6205808.4239999996"/>
    <x v="0"/>
    <x v="0"/>
  </r>
  <r>
    <x v="0"/>
    <x v="3"/>
    <n v="44313"/>
    <x v="5"/>
    <x v="0"/>
    <x v="1"/>
    <x v="2"/>
    <x v="78"/>
    <s v="Ohya Tokboki chả cá - Xốt Tok Tok Siêu Cay 180g"/>
    <s v="Khay"/>
    <n v="74"/>
    <n v="13.32"/>
    <d v="1899-12-30T04:19:12"/>
    <n v="44440"/>
    <s v="De-MKT"/>
    <n v="1290072.5545999999"/>
    <x v="0"/>
    <n v="74"/>
    <n v="1290072.5545999999"/>
    <x v="0"/>
    <x v="0"/>
  </r>
  <r>
    <x v="0"/>
    <x v="3"/>
    <n v="44313"/>
    <x v="5"/>
    <x v="0"/>
    <x v="11"/>
    <x v="2"/>
    <x v="9"/>
    <s v="Chả Lụa Quết Thượng Hạng 500G (mát)"/>
    <s v="Gói"/>
    <n v="277"/>
    <n v="138.5"/>
    <d v="1899-12-30T12:00:00"/>
    <n v="44356"/>
    <s v="Low Sales"/>
    <n v="3790772.6446000016"/>
    <x v="0"/>
    <n v="0"/>
    <n v="0"/>
    <x v="0"/>
    <x v="0"/>
  </r>
  <r>
    <x v="0"/>
    <x v="4"/>
    <n v="44322"/>
    <x v="3"/>
    <x v="0"/>
    <x v="12"/>
    <x v="0"/>
    <x v="85"/>
    <s v="Kimchi cải thảo cắt lát Bibigo Ông Kim's 100gr"/>
    <s v="Túi"/>
    <n v="27"/>
    <n v="2.7"/>
    <d v="1899-12-30T02:24:00"/>
    <n v="44334"/>
    <s v="Returned from distributors"/>
    <n v="70656.264899999995"/>
    <x v="0"/>
    <n v="27"/>
    <n v="70656.264899999995"/>
    <x v="0"/>
    <x v="0"/>
  </r>
  <r>
    <x v="0"/>
    <x v="4"/>
    <n v="44322"/>
    <x v="3"/>
    <x v="0"/>
    <x v="12"/>
    <x v="2"/>
    <x v="41"/>
    <s v="bibigo Kimchi cải thảo chay 500gr"/>
    <s v="Hộp"/>
    <n v="48"/>
    <n v="24"/>
    <d v="1899-12-30T12:00:00"/>
    <n v="44351"/>
    <s v="Returned from distributors"/>
    <n v="763820.83680000005"/>
    <x v="0"/>
    <n v="0"/>
    <n v="0"/>
    <x v="0"/>
    <x v="0"/>
  </r>
  <r>
    <x v="0"/>
    <x v="4"/>
    <n v="44322"/>
    <x v="5"/>
    <x v="0"/>
    <x v="23"/>
    <x v="2"/>
    <x v="84"/>
    <s v="Xúc xích heo vị Mexico (mini) hiệu REAL Gói 200g"/>
    <s v="GOI"/>
    <n v="269"/>
    <n v="53.8"/>
    <d v="1899-12-30T04:48:00"/>
    <n v="44343"/>
    <s v="MTO; Low Sales"/>
    <n v="5441394.1659000004"/>
    <x v="0"/>
    <n v="236"/>
    <n v="4773862.5395999998"/>
    <x v="0"/>
    <x v="0"/>
  </r>
  <r>
    <x v="0"/>
    <x v="4"/>
    <n v="44322"/>
    <x v="5"/>
    <x v="0"/>
    <x v="23"/>
    <x v="2"/>
    <x v="77"/>
    <s v="Xúc xích heo vị Mexico hiệu REAL 200g"/>
    <s v="GOI"/>
    <n v="24"/>
    <n v="4.8000000000000007"/>
    <d v="1899-12-30T04:48:00"/>
    <n v="44343"/>
    <s v="MTO; Low Sales"/>
    <n v="489932.24399999995"/>
    <x v="0"/>
    <n v="0"/>
    <n v="0"/>
    <x v="0"/>
    <x v="0"/>
  </r>
  <r>
    <x v="0"/>
    <x v="4"/>
    <n v="44322"/>
    <x v="5"/>
    <x v="0"/>
    <x v="24"/>
    <x v="2"/>
    <x v="9"/>
    <s v="Chả Lụa Quết Thượng Hạng 500G (mát)"/>
    <s v="Gói"/>
    <n v="277"/>
    <n v="138.5"/>
    <d v="1899-12-30T12:00:00"/>
    <n v="44356"/>
    <s v="Low Sales"/>
    <n v="9330772.6446000002"/>
    <x v="0"/>
    <n v="0"/>
    <n v="0"/>
    <x v="0"/>
    <x v="0"/>
  </r>
  <r>
    <x v="0"/>
    <x v="4"/>
    <n v="44322"/>
    <x v="5"/>
    <x v="0"/>
    <x v="24"/>
    <x v="2"/>
    <x v="9"/>
    <s v="Chả Lụa Quết Thượng Hạng 500G (mát)"/>
    <s v="Gói"/>
    <n v="212"/>
    <n v="106"/>
    <d v="1899-12-30T12:00:00"/>
    <n v="44361"/>
    <s v="Low sale"/>
    <n v="7141241.1576000005"/>
    <x v="0"/>
    <n v="0"/>
    <n v="0"/>
    <x v="0"/>
    <x v="0"/>
  </r>
  <r>
    <x v="0"/>
    <x v="4"/>
    <n v="44327"/>
    <x v="7"/>
    <x v="0"/>
    <x v="13"/>
    <x v="0"/>
    <x v="86"/>
    <s v="밀가루 25KGBột mì xe đạp xanh 25KG"/>
    <s v="EA"/>
    <n v="15"/>
    <n v="375"/>
    <d v="1900-01-24T00:00:00"/>
    <n v="44349"/>
    <s v="Low Sales"/>
    <n v="2525150.58"/>
    <x v="0"/>
    <n v="0"/>
    <n v="0"/>
    <x v="0"/>
    <x v="0"/>
  </r>
  <r>
    <x v="0"/>
    <x v="4"/>
    <n v="44327"/>
    <x v="5"/>
    <x v="0"/>
    <x v="24"/>
    <x v="1"/>
    <x v="9"/>
    <s v="Chả Lụa Quết Thượng Hạng 500G (mát)"/>
    <s v="Gói"/>
    <n v="588"/>
    <n v="294"/>
    <d v="1899-12-30T12:00:00"/>
    <n v="44356"/>
    <s v="Low Sales. Approved for Internal Sales but can not clear all"/>
    <n v="38034838.682400003"/>
    <x v="0"/>
    <n v="588"/>
    <n v="38034838.682400003"/>
    <x v="0"/>
    <x v="0"/>
  </r>
  <r>
    <x v="0"/>
    <x v="4"/>
    <n v="44327"/>
    <x v="5"/>
    <x v="0"/>
    <x v="24"/>
    <x v="1"/>
    <x v="9"/>
    <s v="Chả Lụa Quết Thượng Hạng 500G (mát)"/>
    <s v="Gói"/>
    <n v="368"/>
    <n v="184"/>
    <d v="1899-12-30T12:00:00"/>
    <n v="44361"/>
    <s v="Low Sales. Approved for Internal Sales but can not clear all"/>
    <n v="23804116.726400003"/>
    <x v="0"/>
    <n v="368"/>
    <n v="23804116.726400003"/>
    <x v="0"/>
    <x v="0"/>
  </r>
  <r>
    <x v="0"/>
    <x v="4"/>
    <n v="44327"/>
    <x v="3"/>
    <x v="0"/>
    <x v="21"/>
    <x v="2"/>
    <x v="87"/>
    <s v="Đậu hũ non Bibigo Ông Kim's 220gr"/>
    <s v="Túi"/>
    <n v="268"/>
    <n v="58.96"/>
    <d v="1899-12-30T05:16:48"/>
    <n v="44333"/>
    <s v="Break FEFO"/>
    <n v="1162494.6756"/>
    <x v="0"/>
    <n v="0"/>
    <n v="0"/>
    <x v="0"/>
    <x v="0"/>
  </r>
  <r>
    <x v="0"/>
    <x v="4"/>
    <n v="44335"/>
    <x v="0"/>
    <x v="0"/>
    <x v="18"/>
    <x v="0"/>
    <x v="88"/>
    <s v="Bánh Mandu Thịt CJ Bibigo - Gói 350G"/>
    <s v="Gói"/>
    <n v="11"/>
    <n v="3.85"/>
    <d v="1899-12-30T08:24:00"/>
    <n v="44526"/>
    <s v="Wrong consignment"/>
    <n v="225371.69489999997"/>
    <x v="0"/>
    <n v="11"/>
    <n v="225371.69489999997"/>
    <x v="0"/>
    <x v="0"/>
  </r>
  <r>
    <x v="0"/>
    <x v="4"/>
    <n v="44335"/>
    <x v="6"/>
    <x v="0"/>
    <x v="8"/>
    <x v="0"/>
    <x v="29"/>
    <s v="Snack Rong biển Bibigo vị Kim chi 25gr"/>
    <s v="Gói"/>
    <n v="3"/>
    <n v="7.5000000000000011E-2"/>
    <d v="1899-12-30T00:36:00"/>
    <n v="44394"/>
    <s v="Low Sales"/>
    <n v="25230.130499999999"/>
    <x v="0"/>
    <n v="3"/>
    <n v="25230.130499999999"/>
    <x v="0"/>
    <x v="0"/>
  </r>
  <r>
    <x v="0"/>
    <x v="4"/>
    <n v="44335"/>
    <x v="4"/>
    <x v="0"/>
    <x v="25"/>
    <x v="1"/>
    <x v="44"/>
    <s v="(Beksul) Xốt nấu tokboki 150G"/>
    <s v="Gói"/>
    <n v="131"/>
    <n v="19.649999999999999"/>
    <d v="1899-12-30T03:36:00"/>
    <n v="44364"/>
    <s v="Approved in March, 2021 for internal sales. It cannot be cleared."/>
    <n v="1319289.8388"/>
    <x v="0"/>
    <n v="74"/>
    <n v="745247.69519999996"/>
    <x v="0"/>
    <x v="0"/>
  </r>
  <r>
    <x v="0"/>
    <x v="4"/>
    <n v="44335"/>
    <x v="5"/>
    <x v="0"/>
    <x v="24"/>
    <x v="1"/>
    <x v="9"/>
    <s v="Chả Lụa Quết Thượng Hạng 500G (mát)"/>
    <s v="CAY"/>
    <n v="40"/>
    <n v="20"/>
    <d v="1899-12-30T12:00:00"/>
    <n v="44352"/>
    <s v="Low sale"/>
    <n v="2573939.38"/>
    <x v="0"/>
    <n v="40"/>
    <n v="2573939.38"/>
    <x v="0"/>
    <x v="0"/>
  </r>
  <r>
    <x v="0"/>
    <x v="4"/>
    <n v="44335"/>
    <x v="5"/>
    <x v="0"/>
    <x v="24"/>
    <x v="2"/>
    <x v="76"/>
    <s v="Chả Lụa 3 Khỏe 500g – mát"/>
    <s v="CAY"/>
    <n v="3"/>
    <n v="1.5"/>
    <d v="1899-12-30T12:00:00"/>
    <n v="44358"/>
    <s v="Low Sales"/>
    <n v="103124.2692"/>
    <x v="0"/>
    <n v="3"/>
    <n v="103124.2692"/>
    <x v="0"/>
    <x v="0"/>
  </r>
  <r>
    <x v="0"/>
    <x v="4"/>
    <n v="44335"/>
    <x v="5"/>
    <x v="0"/>
    <x v="24"/>
    <x v="2"/>
    <x v="9"/>
    <s v="Chả Lụa Quết Thượng Hạng 500G (mát)"/>
    <s v="Gói"/>
    <n v="235"/>
    <n v="117.5"/>
    <d v="1899-12-30T12:00:00"/>
    <n v="44356"/>
    <s v="Low sale"/>
    <n v="12615998.453000002"/>
    <x v="0"/>
    <n v="235"/>
    <n v="12615998.453000002"/>
    <x v="0"/>
    <x v="0"/>
  </r>
  <r>
    <x v="0"/>
    <x v="4"/>
    <n v="44335"/>
    <x v="5"/>
    <x v="0"/>
    <x v="24"/>
    <x v="2"/>
    <x v="9"/>
    <s v="Chả Lụa Quết Thượng Hạng 500G (mát)"/>
    <s v="Gói"/>
    <n v="189"/>
    <n v="94.5"/>
    <d v="1899-12-30T12:00:00"/>
    <n v="44361"/>
    <s v="Low sale"/>
    <n v="10146483.862199999"/>
    <x v="0"/>
    <n v="189"/>
    <n v="10146483.862199999"/>
    <x v="0"/>
    <x v="0"/>
  </r>
  <r>
    <x v="0"/>
    <x v="4"/>
    <n v="44341"/>
    <x v="3"/>
    <x v="0"/>
    <x v="12"/>
    <x v="0"/>
    <x v="53"/>
    <s v="Kim chi cải thảo cắt lát Ông Kim's 5Kg-GGG"/>
    <s v="Túi"/>
    <n v="45"/>
    <n v="225"/>
    <d v="1900-01-04T00:00:00"/>
    <n v="44361"/>
    <s v="MTO; GGG cancelled orders"/>
    <n v="4659106.8375000004"/>
    <x v="0"/>
    <n v="0"/>
    <n v="0"/>
    <x v="0"/>
    <x v="0"/>
  </r>
  <r>
    <x v="0"/>
    <x v="4"/>
    <n v="44341"/>
    <x v="8"/>
    <x v="1"/>
    <x v="22"/>
    <x v="1"/>
    <x v="75"/>
    <s v="Mực Nang size 8-12 BTP"/>
    <s v="Kg"/>
    <n v="1500"/>
    <n v="1500"/>
    <d v="1899-12-31T00:00:00"/>
    <n v="44561"/>
    <s v="Burned Factory. No production site for Mandu. Cuttlefish is also extended shelf life. "/>
    <n v="114765000"/>
    <x v="0"/>
    <n v="170"/>
    <n v="13006700"/>
    <x v="0"/>
    <x v="0"/>
  </r>
  <r>
    <x v="0"/>
    <x v="4"/>
    <n v="44341"/>
    <x v="5"/>
    <x v="0"/>
    <x v="23"/>
    <x v="2"/>
    <x v="77"/>
    <s v="Xúc xích heo vị Mexico hiệu REAL 200g"/>
    <s v="Gói"/>
    <n v="15"/>
    <n v="3"/>
    <d v="1899-12-30T04:48:00"/>
    <n v="44361"/>
    <s v="Return from distributors"/>
    <n v="306035.97749999998"/>
    <x v="0"/>
    <n v="15"/>
    <n v="306035.97749999998"/>
    <x v="0"/>
    <x v="0"/>
  </r>
  <r>
    <x v="0"/>
    <x v="4"/>
    <n v="44341"/>
    <x v="5"/>
    <x v="0"/>
    <x v="24"/>
    <x v="2"/>
    <x v="74"/>
    <s v="Chả Bò Quết Thượng Hạng 500g (mát)"/>
    <s v="Gói"/>
    <n v="6"/>
    <n v="3"/>
    <d v="1899-12-30T12:00:00"/>
    <n v="44349"/>
    <s v="MTO"/>
    <n v="408685.48019999999"/>
    <x v="0"/>
    <n v="6"/>
    <n v="408685.48019999999"/>
    <x v="0"/>
    <x v="0"/>
  </r>
  <r>
    <x v="0"/>
    <x v="4"/>
    <n v="44341"/>
    <x v="5"/>
    <x v="0"/>
    <x v="24"/>
    <x v="2"/>
    <x v="79"/>
    <s v="Chả Bò Quết Nhất Phẩm 200g"/>
    <s v="Gói"/>
    <n v="5"/>
    <n v="1"/>
    <d v="1899-12-30T04:48:00"/>
    <n v="44366"/>
    <s v="MTO"/>
    <n v="120075"/>
    <x v="0"/>
    <n v="5"/>
    <n v="120075"/>
    <x v="0"/>
    <x v="0"/>
  </r>
  <r>
    <x v="0"/>
    <x v="5"/>
    <n v="44351"/>
    <x v="3"/>
    <x v="0"/>
    <x v="12"/>
    <x v="0"/>
    <x v="18"/>
    <s v="Kim chi cải thảo cắt lát Ông Kim's 300g"/>
    <s v="Hộp"/>
    <n v="5"/>
    <n v="1.5"/>
    <d v="1899-12-30T07:12:00"/>
    <n v="44380"/>
    <s v="Low sales"/>
    <n v="40892.524000000005"/>
    <x v="0"/>
    <n v="5"/>
    <n v="40892.524000000005"/>
    <x v="0"/>
    <x v="0"/>
  </r>
  <r>
    <x v="0"/>
    <x v="5"/>
    <n v="44351"/>
    <x v="5"/>
    <x v="0"/>
    <x v="16"/>
    <x v="0"/>
    <x v="46"/>
    <s v="Cá viên ngon Cầu Tre 500gr"/>
    <s v="Gói"/>
    <n v="27"/>
    <n v="13.5"/>
    <d v="1899-12-30T12:00:00"/>
    <n v="44595"/>
    <s v="Quality issues, QC confirms for Internal sales"/>
    <n v="420958.55249999999"/>
    <x v="0"/>
    <n v="27"/>
    <n v="420958.55249999999"/>
    <x v="0"/>
    <x v="0"/>
  </r>
  <r>
    <x v="0"/>
    <x v="5"/>
    <n v="44351"/>
    <x v="5"/>
    <x v="0"/>
    <x v="16"/>
    <x v="0"/>
    <x v="46"/>
    <s v="Cá viên ngon Cầu Tre 500gr"/>
    <s v="Gói"/>
    <n v="30"/>
    <n v="15"/>
    <d v="1899-12-30T12:00:00"/>
    <n v="44595"/>
    <s v="Quality issues, QC confirms for Internal sales"/>
    <n v="467731.72499999998"/>
    <x v="0"/>
    <n v="30"/>
    <n v="467731.72499999998"/>
    <x v="0"/>
    <x v="0"/>
  </r>
  <r>
    <x v="0"/>
    <x v="5"/>
    <n v="44351"/>
    <x v="5"/>
    <x v="0"/>
    <x v="16"/>
    <x v="0"/>
    <x v="46"/>
    <s v="Cá viên ngon Cầu Tre 500gr"/>
    <s v="Gói"/>
    <n v="58"/>
    <n v="29"/>
    <d v="1899-12-30T12:00:00"/>
    <n v="44595"/>
    <s v="Quality issues, QC confirms for Internal sales"/>
    <n v="904281.33499999996"/>
    <x v="0"/>
    <n v="58"/>
    <n v="904281.33499999996"/>
    <x v="0"/>
    <x v="0"/>
  </r>
  <r>
    <x v="0"/>
    <x v="5"/>
    <n v="44351"/>
    <x v="5"/>
    <x v="0"/>
    <x v="16"/>
    <x v="0"/>
    <x v="46"/>
    <s v="Cá viên ngon Cầu Tre 500gr"/>
    <s v="Gói"/>
    <n v="50"/>
    <n v="25"/>
    <d v="1899-12-30T12:00:00"/>
    <n v="44595"/>
    <s v="Quality issues, QC confirms for Internal sales"/>
    <n v="779552.875"/>
    <x v="0"/>
    <n v="50"/>
    <n v="779552.875"/>
    <x v="0"/>
    <x v="0"/>
  </r>
  <r>
    <x v="0"/>
    <x v="5"/>
    <n v="44351"/>
    <x v="5"/>
    <x v="0"/>
    <x v="16"/>
    <x v="0"/>
    <x v="46"/>
    <s v="Cá viên ngon Cầu Tre 500gr"/>
    <s v="Gói"/>
    <n v="25"/>
    <n v="12.5"/>
    <d v="1899-12-30T12:00:00"/>
    <n v="44595"/>
    <s v="Quality issues, QC confirms for Internal sales"/>
    <n v="389776.4375"/>
    <x v="0"/>
    <n v="25"/>
    <n v="389776.4375"/>
    <x v="0"/>
    <x v="0"/>
  </r>
  <r>
    <x v="0"/>
    <x v="5"/>
    <n v="44351"/>
    <x v="5"/>
    <x v="0"/>
    <x v="16"/>
    <x v="0"/>
    <x v="46"/>
    <s v="Cá viên ngon Cầu Tre 500gr"/>
    <s v="Gói"/>
    <n v="2"/>
    <n v="1"/>
    <d v="1899-12-30T12:00:00"/>
    <n v="44596"/>
    <s v="Quality issues, QC confirms for Internal sales"/>
    <n v="31182.115000000002"/>
    <x v="0"/>
    <n v="2"/>
    <n v="31182.115000000002"/>
    <x v="0"/>
    <x v="0"/>
  </r>
  <r>
    <x v="0"/>
    <x v="5"/>
    <n v="44351"/>
    <x v="5"/>
    <x v="0"/>
    <x v="16"/>
    <x v="0"/>
    <x v="46"/>
    <s v="Cá viên ngon Cầu Tre 500gr"/>
    <s v="Túi"/>
    <n v="31"/>
    <n v="15.5"/>
    <d v="1899-12-30T12:00:00"/>
    <n v="44597"/>
    <s v="Quality issues, QC confirms for Internal sales"/>
    <n v="483322.78249999997"/>
    <x v="0"/>
    <n v="31"/>
    <n v="483322.78249999997"/>
    <x v="0"/>
    <x v="0"/>
  </r>
  <r>
    <x v="0"/>
    <x v="5"/>
    <n v="44351"/>
    <x v="5"/>
    <x v="0"/>
    <x v="16"/>
    <x v="0"/>
    <x v="46"/>
    <s v="Cá viên ngon Cầu Tre 500gr"/>
    <s v="Gói"/>
    <n v="1"/>
    <n v="0.5"/>
    <d v="1899-12-30T12:00:00"/>
    <n v="44623"/>
    <s v="Quality issues, QC confirms for Internal sales"/>
    <n v="15591.057500000001"/>
    <x v="0"/>
    <n v="1"/>
    <n v="15591.057500000001"/>
    <x v="0"/>
    <x v="0"/>
  </r>
  <r>
    <x v="0"/>
    <x v="5"/>
    <n v="44351"/>
    <x v="5"/>
    <x v="0"/>
    <x v="16"/>
    <x v="2"/>
    <x v="89"/>
    <s v="Hương vị tôm viên 500g 280 viên/kg"/>
    <s v="Kg"/>
    <n v="2"/>
    <n v="2"/>
    <d v="1899-12-31T00:00:00"/>
    <n v="44380"/>
    <s v="MTO"/>
    <n v="63063.726999999999"/>
    <x v="0"/>
    <n v="2"/>
    <n v="63063.726999999999"/>
    <x v="0"/>
    <x v="0"/>
  </r>
  <r>
    <x v="0"/>
    <x v="5"/>
    <n v="44351"/>
    <x v="1"/>
    <x v="0"/>
    <x v="26"/>
    <x v="2"/>
    <x v="80"/>
    <s v="Cầu Tre I'm Cháo Gourmet / Cháo Tươi Bò Úc Hầm Rau Củ - túi 250g"/>
    <s v="Túi"/>
    <n v="80"/>
    <n v="20"/>
    <d v="1899-12-30T06:00:00"/>
    <n v="44481"/>
    <s v="Return from distributor"/>
    <n v="865440"/>
    <x v="0"/>
    <n v="80"/>
    <n v="865440"/>
    <x v="0"/>
    <x v="0"/>
  </r>
  <r>
    <x v="0"/>
    <x v="5"/>
    <n v="44354"/>
    <x v="8"/>
    <x v="1"/>
    <x v="22"/>
    <x v="1"/>
    <x v="90"/>
    <s v="Gia vị xá xíu Thái Lan"/>
    <s v="Kg"/>
    <n v="6"/>
    <n v="6"/>
    <d v="1899-12-31T00:00:00"/>
    <n v="44507"/>
    <s v="No production plan, use for export products"/>
    <n v="773394"/>
    <x v="0"/>
    <n v="0"/>
    <n v="0"/>
    <x v="0"/>
    <x v="0"/>
  </r>
  <r>
    <x v="0"/>
    <x v="5"/>
    <n v="44354"/>
    <x v="8"/>
    <x v="1"/>
    <x v="22"/>
    <x v="1"/>
    <x v="91"/>
    <s v="Hạt nêm Aji-ngon Gà"/>
    <s v="Kg"/>
    <n v="12"/>
    <n v="12"/>
    <d v="1899-12-31T00:00:00"/>
    <n v="44371"/>
    <s v="Remove, still using"/>
    <n v="448896"/>
    <x v="0"/>
    <n v="0"/>
    <n v="0"/>
    <x v="0"/>
    <x v="0"/>
  </r>
  <r>
    <x v="0"/>
    <x v="5"/>
    <n v="44354"/>
    <x v="8"/>
    <x v="1"/>
    <x v="22"/>
    <x v="1"/>
    <x v="91"/>
    <s v="Hạt nêm Aji-ngon Gà"/>
    <s v="Kg"/>
    <n v="18"/>
    <n v="18"/>
    <d v="1899-12-31T00:00:00"/>
    <n v="44380"/>
    <s v="Remove, still using"/>
    <n v="673344"/>
    <x v="0"/>
    <n v="0"/>
    <n v="0"/>
    <x v="0"/>
    <x v="0"/>
  </r>
  <r>
    <x v="0"/>
    <x v="5"/>
    <n v="44354"/>
    <x v="8"/>
    <x v="1"/>
    <x v="22"/>
    <x v="1"/>
    <x v="92"/>
    <s v="Miến dong"/>
    <s v="Kg"/>
    <n v="30"/>
    <n v="30"/>
    <d v="1899-12-31T00:00:00"/>
    <n v="44636"/>
    <s v="No production plan, use for export product in the past"/>
    <n v="1133130"/>
    <x v="0"/>
    <n v="0"/>
    <n v="0"/>
    <x v="0"/>
    <x v="0"/>
  </r>
  <r>
    <x v="0"/>
    <x v="5"/>
    <n v="44354"/>
    <x v="8"/>
    <x v="1"/>
    <x v="22"/>
    <x v="1"/>
    <x v="93"/>
    <s v="Cà chua xay (cô đặc)"/>
    <s v="Kg"/>
    <n v="20"/>
    <n v="20"/>
    <d v="1899-12-31T00:00:00"/>
    <n v="44390"/>
    <s v="No production plan, use for export product in the past"/>
    <n v="507040"/>
    <x v="0"/>
    <n v="0"/>
    <n v="0"/>
    <x v="0"/>
    <x v="0"/>
  </r>
  <r>
    <x v="0"/>
    <x v="5"/>
    <n v="44362"/>
    <x v="3"/>
    <x v="0"/>
    <x v="12"/>
    <x v="0"/>
    <x v="94"/>
    <s v="Kim chi cải thảo cây Bibigo Ông Kim's 5kg-GGG"/>
    <s v="Túi"/>
    <n v="1"/>
    <n v="5"/>
    <d v="1900-01-04T00:00:00"/>
    <n v="44396"/>
    <s v="Low sale"/>
    <n v="114994.5615"/>
    <x v="0"/>
    <n v="1"/>
    <n v="114994.5615"/>
    <x v="0"/>
    <x v="0"/>
  </r>
  <r>
    <x v="0"/>
    <x v="5"/>
    <n v="44362"/>
    <x v="4"/>
    <x v="0"/>
    <x v="14"/>
    <x v="0"/>
    <x v="95"/>
    <s v="태양초골드고추장 200G(원조)Tương ớt Taeyangcho (original)"/>
    <s v="EA"/>
    <n v="1"/>
    <n v="0.2"/>
    <d v="1899-12-30T04:48:00"/>
    <n v="44563"/>
    <s v="Low sale"/>
    <n v="10775"/>
    <x v="0"/>
    <n v="1"/>
    <n v="10775"/>
    <x v="0"/>
    <x v="0"/>
  </r>
  <r>
    <x v="0"/>
    <x v="5"/>
    <n v="44362"/>
    <x v="8"/>
    <x v="1"/>
    <x v="22"/>
    <x v="1"/>
    <x v="96"/>
    <s v="Sốt xá xíu"/>
    <s v="Kg"/>
    <n v="5.28"/>
    <n v="5.28"/>
    <d v="1899-12-31T00:00:00"/>
    <n v="44844"/>
    <s v="Selling for staff. To raise E-approval"/>
    <n v="658083.36"/>
    <x v="0"/>
    <n v="5.28"/>
    <n v="658083.36"/>
    <x v="0"/>
    <x v="0"/>
  </r>
  <r>
    <x v="0"/>
    <x v="5"/>
    <n v="44362"/>
    <x v="8"/>
    <x v="1"/>
    <x v="22"/>
    <x v="1"/>
    <x v="97"/>
    <s v="Bột khai (hiệu Người Cá – Lệ Hương)"/>
    <s v="Kg"/>
    <n v="19.8"/>
    <n v="19.8"/>
    <d v="1899-12-31T00:00:00"/>
    <n v="44849"/>
    <s v="No production plan, use for bánh bao đậu đỏ"/>
    <n v="297000"/>
    <x v="0"/>
    <n v="0"/>
    <n v="0"/>
    <x v="0"/>
    <x v="0"/>
  </r>
  <r>
    <x v="0"/>
    <x v="5"/>
    <n v="44362"/>
    <x v="8"/>
    <x v="1"/>
    <x v="22"/>
    <x v="1"/>
    <x v="90"/>
    <s v="Gia vị xá xíu Thái Lan"/>
    <s v="Kg"/>
    <n v="6"/>
    <n v="6"/>
    <d v="1899-12-31T00:00:00"/>
    <n v="44507"/>
    <s v="No production plan, use for export products"/>
    <n v="929394"/>
    <x v="0"/>
    <n v="0"/>
    <n v="0"/>
    <x v="0"/>
    <x v="0"/>
  </r>
  <r>
    <x v="0"/>
    <x v="5"/>
    <n v="44362"/>
    <x v="8"/>
    <x v="1"/>
    <x v="22"/>
    <x v="1"/>
    <x v="98"/>
    <s v="Hạt nêm Aji-ngon heo"/>
    <s v="Kg"/>
    <n v="54"/>
    <n v="54"/>
    <d v="1899-12-31T00:00:00"/>
    <n v="44394"/>
    <s v="No production plan, use for export products"/>
    <n v="1680264"/>
    <x v="0"/>
    <n v="30"/>
    <n v="933480"/>
    <x v="0"/>
    <x v="0"/>
  </r>
  <r>
    <x v="0"/>
    <x v="5"/>
    <n v="44362"/>
    <x v="8"/>
    <x v="1"/>
    <x v="22"/>
    <x v="1"/>
    <x v="99"/>
    <s v="Bột sữa dừa"/>
    <s v="Kg"/>
    <n v="45"/>
    <n v="45"/>
    <d v="1899-12-31T00:00:00"/>
    <n v="44563"/>
    <s v="No production plan, use for export products"/>
    <n v="3239550"/>
    <x v="0"/>
    <n v="20"/>
    <n v="1439800"/>
    <x v="0"/>
    <x v="0"/>
  </r>
  <r>
    <x v="0"/>
    <x v="5"/>
    <n v="44362"/>
    <x v="8"/>
    <x v="1"/>
    <x v="22"/>
    <x v="1"/>
    <x v="100"/>
    <s v="Phụ gia TP Methyl Cellulose (Methocel Bind 112)"/>
    <s v="Kg"/>
    <n v="15"/>
    <n v="15"/>
    <d v="1899-12-31T00:00:00"/>
    <n v="44761"/>
    <s v="Xúc xich Minion De MKT"/>
    <n v="4806225"/>
    <x v="0"/>
    <n v="0"/>
    <n v="0"/>
    <x v="0"/>
    <x v="0"/>
  </r>
  <r>
    <x v="0"/>
    <x v="5"/>
    <n v="44362"/>
    <x v="8"/>
    <x v="1"/>
    <x v="22"/>
    <x v="1"/>
    <x v="93"/>
    <s v="Cà chua xay (cô đặc)"/>
    <s v="Kg"/>
    <n v="435"/>
    <n v="435"/>
    <d v="1899-12-31T00:00:00"/>
    <n v="44390"/>
    <s v="No production plan, use for export product in the past"/>
    <n v="7113120"/>
    <x v="0"/>
    <n v="0"/>
    <n v="0"/>
    <x v="0"/>
    <x v="0"/>
  </r>
  <r>
    <x v="0"/>
    <x v="5"/>
    <n v="44362"/>
    <x v="8"/>
    <x v="1"/>
    <x v="22"/>
    <x v="1"/>
    <x v="101"/>
    <s v="Nước chấm chả giò (chay) 50gr/gói"/>
    <s v="GOI"/>
    <n v="14590"/>
    <n v="729.5"/>
    <d v="1899-12-30T01:12:00"/>
    <n v="44492"/>
    <s v="No production plan, use for export product in the past, De MKT Shrimp Spring Roll TF"/>
    <n v="17508000"/>
    <x v="0"/>
    <n v="0"/>
    <n v="0"/>
    <x v="0"/>
    <x v="0"/>
  </r>
  <r>
    <x v="0"/>
    <x v="5"/>
    <n v="44362"/>
    <x v="5"/>
    <x v="0"/>
    <x v="27"/>
    <x v="1"/>
    <x v="74"/>
    <s v="Chả Bò Quết Thượng Hạng 500g (mát)"/>
    <s v="CAY"/>
    <n v="9"/>
    <n v="4.5"/>
    <d v="1899-12-30T12:00:00"/>
    <n v="44399"/>
    <s v="Quality issue"/>
    <n v="613028.22030000004"/>
    <x v="0"/>
    <n v="9"/>
    <n v="613028.22030000004"/>
    <x v="0"/>
    <x v="0"/>
  </r>
  <r>
    <x v="0"/>
    <x v="5"/>
    <n v="44362"/>
    <x v="5"/>
    <x v="0"/>
    <x v="27"/>
    <x v="1"/>
    <x v="33"/>
    <s v="Chả lụa quết nhất phẩm – 200G"/>
    <s v="CAY"/>
    <n v="25"/>
    <n v="5"/>
    <d v="1899-12-30T04:48:00"/>
    <n v="44444"/>
    <s v="Quality issue"/>
    <n v="472415.93999999994"/>
    <x v="0"/>
    <n v="0"/>
    <n v="0"/>
    <x v="0"/>
    <x v="0"/>
  </r>
  <r>
    <x v="0"/>
    <x v="5"/>
    <n v="44362"/>
    <x v="5"/>
    <x v="0"/>
    <x v="27"/>
    <x v="1"/>
    <x v="33"/>
    <s v="Chả lụa quết nhất phẩm – 200G"/>
    <s v="CAY"/>
    <n v="10"/>
    <n v="2"/>
    <d v="1899-12-30T04:48:00"/>
    <n v="44445"/>
    <s v="Quality issue"/>
    <n v="188966.37599999999"/>
    <x v="0"/>
    <n v="0"/>
    <n v="0"/>
    <x v="0"/>
    <x v="0"/>
  </r>
  <r>
    <x v="0"/>
    <x v="5"/>
    <n v="44362"/>
    <x v="5"/>
    <x v="0"/>
    <x v="27"/>
    <x v="1"/>
    <x v="33"/>
    <s v="Chả lụa quết nhất phẩm – 200G"/>
    <s v="CAY"/>
    <n v="11"/>
    <n v="2.2000000000000002"/>
    <d v="1899-12-30T04:48:00"/>
    <n v="44446"/>
    <s v="Quality issue"/>
    <n v="207863.01360000001"/>
    <x v="0"/>
    <n v="0"/>
    <n v="0"/>
    <x v="0"/>
    <x v="0"/>
  </r>
  <r>
    <x v="0"/>
    <x v="5"/>
    <n v="44362"/>
    <x v="5"/>
    <x v="0"/>
    <x v="27"/>
    <x v="1"/>
    <x v="9"/>
    <s v="Chả Lụa Quết Thượng Hạng 500G (mát)"/>
    <s v="CAY"/>
    <n v="70"/>
    <n v="35"/>
    <d v="1899-12-30T12:00:00"/>
    <n v="44444"/>
    <s v="Quality issue"/>
    <n v="3734393.915"/>
    <x v="0"/>
    <n v="70"/>
    <n v="3734393.915"/>
    <x v="0"/>
    <x v="0"/>
  </r>
  <r>
    <x v="0"/>
    <x v="5"/>
    <n v="44362"/>
    <x v="5"/>
    <x v="0"/>
    <x v="27"/>
    <x v="1"/>
    <x v="9"/>
    <s v="Chả Lụa Quết Thượng Hạng 500G (mát)"/>
    <s v="CAY"/>
    <n v="35"/>
    <n v="17.5"/>
    <d v="1899-12-30T12:00:00"/>
    <n v="44445"/>
    <s v="Quality issue"/>
    <n v="1867196.9575"/>
    <x v="0"/>
    <n v="35"/>
    <n v="1867196.9575"/>
    <x v="0"/>
    <x v="0"/>
  </r>
  <r>
    <x v="0"/>
    <x v="5"/>
    <n v="44362"/>
    <x v="5"/>
    <x v="0"/>
    <x v="27"/>
    <x v="1"/>
    <x v="9"/>
    <s v="Chả Lụa Quết Thượng Hạng 500G (mát)"/>
    <s v="CAY"/>
    <n v="17"/>
    <n v="8.5"/>
    <d v="1899-12-30T12:00:00"/>
    <n v="44446"/>
    <s v="Quality issue"/>
    <n v="906924.2365"/>
    <x v="0"/>
    <n v="17"/>
    <n v="906924.2365"/>
    <x v="0"/>
    <x v="0"/>
  </r>
  <r>
    <x v="0"/>
    <x v="5"/>
    <n v="44362"/>
    <x v="5"/>
    <x v="0"/>
    <x v="27"/>
    <x v="1"/>
    <x v="9"/>
    <s v="Chả Lụa Quết Thượng Hạng 500G (mát)"/>
    <s v="CAY"/>
    <n v="15"/>
    <n v="7.5"/>
    <d v="1899-12-30T12:00:00"/>
    <n v="44447"/>
    <s v="Quality issue"/>
    <n v="800227.26749999996"/>
    <x v="0"/>
    <n v="15"/>
    <n v="800227.26749999996"/>
    <x v="0"/>
    <x v="0"/>
  </r>
  <r>
    <x v="0"/>
    <x v="5"/>
    <n v="44362"/>
    <x v="5"/>
    <x v="0"/>
    <x v="27"/>
    <x v="1"/>
    <x v="9"/>
    <s v="Chả Lụa Quết Thượng Hạng 500G (mát)"/>
    <s v="CAY"/>
    <n v="16"/>
    <n v="8"/>
    <d v="1899-12-30T12:00:00"/>
    <n v="44448"/>
    <s v="Quality issue"/>
    <n v="853575.75199999998"/>
    <x v="0"/>
    <n v="16"/>
    <n v="853575.75199999998"/>
    <x v="0"/>
    <x v="0"/>
  </r>
  <r>
    <x v="0"/>
    <x v="5"/>
    <n v="44362"/>
    <x v="5"/>
    <x v="0"/>
    <x v="16"/>
    <x v="2"/>
    <x v="102"/>
    <s v="Deli bò viên  500g  40 viên/kg"/>
    <s v="Kg"/>
    <n v="0.5"/>
    <n v="0.5"/>
    <d v="1899-12-31T00:00:00"/>
    <n v="44390"/>
    <s v="Low sale"/>
    <n v="26100"/>
    <x v="0"/>
    <n v="0"/>
    <n v="0"/>
    <x v="0"/>
    <x v="0"/>
  </r>
  <r>
    <x v="0"/>
    <x v="5"/>
    <n v="44376"/>
    <x v="5"/>
    <x v="0"/>
    <x v="11"/>
    <x v="0"/>
    <x v="43"/>
    <s v="Chả cá quết- Chả cá kiểu Nha Trang 280G (mát)"/>
    <s v="Gói"/>
    <n v="5"/>
    <n v="1.4"/>
    <d v="1899-12-30T06:43:12"/>
    <n v="44407"/>
    <s v="Low sales"/>
    <n v="103000.022"/>
    <x v="0"/>
    <n v="3"/>
    <n v="61800.013200000001"/>
    <x v="0"/>
    <x v="0"/>
  </r>
  <r>
    <x v="0"/>
    <x v="5"/>
    <n v="44376"/>
    <x v="0"/>
    <x v="0"/>
    <x v="28"/>
    <x v="1"/>
    <x v="103"/>
    <s v="Mandu Bibigo Bán Nội Bộ - Gói 654G"/>
    <s v="GÓI "/>
    <n v="8"/>
    <n v="3.2"/>
    <d v="1899-12-30T09:36:00"/>
    <n v="44474"/>
    <s v="CJCJ shipped wrong SKU"/>
    <n v="364000"/>
    <x v="0"/>
    <n v="0"/>
    <n v="0"/>
    <x v="0"/>
    <x v="0"/>
  </r>
  <r>
    <x v="0"/>
    <x v="5"/>
    <n v="44376"/>
    <x v="8"/>
    <x v="1"/>
    <x v="22"/>
    <x v="1"/>
    <x v="75"/>
    <s v="Mực Nang size 8-12 BTP"/>
    <s v="Kg"/>
    <n v="500"/>
    <n v="500"/>
    <d v="1899-12-31T00:00:00"/>
    <n v="44561"/>
    <s v="Burned Factory. No production site for Mandu. Cuttlefish is also extended shelf life. "/>
    <n v="38255000"/>
    <x v="0"/>
    <n v="360"/>
    <n v="27543600"/>
    <x v="0"/>
    <x v="0"/>
  </r>
  <r>
    <x v="0"/>
    <x v="5"/>
    <n v="44376"/>
    <x v="5"/>
    <x v="0"/>
    <x v="27"/>
    <x v="1"/>
    <x v="74"/>
    <s v="Chả Bò Quết Thượng Hạng 500g (mát)"/>
    <s v="CAY"/>
    <n v="9"/>
    <n v="4.5"/>
    <d v="1899-12-30T12:00:00"/>
    <n v="44399"/>
    <s v="Quality issue"/>
    <n v="352028.22030000004"/>
    <x v="0"/>
    <n v="9"/>
    <n v="352028.22030000004"/>
    <x v="0"/>
    <x v="0"/>
  </r>
  <r>
    <x v="0"/>
    <x v="5"/>
    <n v="44376"/>
    <x v="5"/>
    <x v="0"/>
    <x v="27"/>
    <x v="1"/>
    <x v="74"/>
    <s v="Chả Bò Quết Thượng Hạng 500g (mát)"/>
    <s v="CAY"/>
    <n v="2"/>
    <n v="1"/>
    <d v="1899-12-30T12:00:00"/>
    <n v="44406"/>
    <s v="Quality issue"/>
    <n v="78228.493400000007"/>
    <x v="0"/>
    <n v="2"/>
    <n v="78228.493400000007"/>
    <x v="0"/>
    <x v="0"/>
  </r>
  <r>
    <x v="0"/>
    <x v="5"/>
    <n v="44376"/>
    <x v="5"/>
    <x v="0"/>
    <x v="27"/>
    <x v="1"/>
    <x v="74"/>
    <s v="Chả Bò Quết Thượng Hạng 500g (mát)"/>
    <s v="CAY"/>
    <n v="8"/>
    <n v="4"/>
    <d v="1899-12-30T12:00:00"/>
    <n v="44409"/>
    <s v="Quality issue"/>
    <n v="312913.97360000003"/>
    <x v="0"/>
    <n v="8"/>
    <n v="312913.97360000003"/>
    <x v="0"/>
    <x v="0"/>
  </r>
  <r>
    <x v="0"/>
    <x v="5"/>
    <n v="44376"/>
    <x v="5"/>
    <x v="0"/>
    <x v="27"/>
    <x v="1"/>
    <x v="104"/>
    <s v="Chả Bò Quết Thượng Hạng 500g (mát)"/>
    <s v="CAY"/>
    <n v="2"/>
    <n v="1"/>
    <d v="1899-12-30T12:00:00"/>
    <n v="44413"/>
    <s v="Quality issue"/>
    <n v="78228.493400000007"/>
    <x v="0"/>
    <n v="0"/>
    <n v="0"/>
    <x v="0"/>
    <x v="0"/>
  </r>
  <r>
    <x v="0"/>
    <x v="5"/>
    <n v="44376"/>
    <x v="5"/>
    <x v="0"/>
    <x v="27"/>
    <x v="1"/>
    <x v="33"/>
    <s v="Chả lụa quết nhất phẩm – 200G"/>
    <s v="CAY"/>
    <n v="25"/>
    <n v="5"/>
    <d v="1899-12-30T04:48:00"/>
    <n v="44444"/>
    <s v="Quality issue"/>
    <n v="172415.93999999994"/>
    <x v="0"/>
    <n v="0"/>
    <n v="0"/>
    <x v="0"/>
    <x v="0"/>
  </r>
  <r>
    <x v="0"/>
    <x v="5"/>
    <n v="44376"/>
    <x v="5"/>
    <x v="0"/>
    <x v="27"/>
    <x v="1"/>
    <x v="33"/>
    <s v="Chả lụa quết nhất phẩm – 200G"/>
    <s v="CAY"/>
    <n v="10"/>
    <n v="2"/>
    <d v="1899-12-30T04:48:00"/>
    <n v="44445"/>
    <s v="Quality issue"/>
    <n v="68966.375999999989"/>
    <x v="0"/>
    <n v="0"/>
    <n v="0"/>
    <x v="0"/>
    <x v="0"/>
  </r>
  <r>
    <x v="0"/>
    <x v="5"/>
    <n v="44376"/>
    <x v="5"/>
    <x v="0"/>
    <x v="27"/>
    <x v="1"/>
    <x v="33"/>
    <s v="Chả lụa quết nhất phẩm – 200G"/>
    <s v="CAY"/>
    <n v="11"/>
    <n v="2.2000000000000002"/>
    <d v="1899-12-30T04:48:00"/>
    <n v="44446"/>
    <s v="Quality issue"/>
    <n v="75863.013599999991"/>
    <x v="0"/>
    <n v="0"/>
    <n v="0"/>
    <x v="0"/>
    <x v="0"/>
  </r>
  <r>
    <x v="0"/>
    <x v="5"/>
    <n v="44376"/>
    <x v="5"/>
    <x v="0"/>
    <x v="27"/>
    <x v="1"/>
    <x v="33"/>
    <s v="Chả lụa quết nhất phẩm – 200G"/>
    <s v="CAY"/>
    <n v="14"/>
    <n v="2.8000000000000003"/>
    <d v="1899-12-30T04:48:00"/>
    <n v="44451"/>
    <s v="Quality issue"/>
    <n v="96552.926399999968"/>
    <x v="0"/>
    <n v="0"/>
    <n v="0"/>
    <x v="0"/>
    <x v="0"/>
  </r>
  <r>
    <x v="0"/>
    <x v="5"/>
    <n v="44376"/>
    <x v="5"/>
    <x v="0"/>
    <x v="27"/>
    <x v="1"/>
    <x v="33"/>
    <s v="Chả lụa quết nhất phẩm – 200G"/>
    <s v="CAY"/>
    <n v="4"/>
    <n v="0.8"/>
    <d v="1899-12-30T04:48:00"/>
    <n v="44452"/>
    <s v="Quality issue"/>
    <n v="27586.550399999993"/>
    <x v="0"/>
    <n v="4"/>
    <n v="27586.550399999993"/>
    <x v="0"/>
    <x v="0"/>
  </r>
  <r>
    <x v="0"/>
    <x v="5"/>
    <n v="44376"/>
    <x v="5"/>
    <x v="0"/>
    <x v="27"/>
    <x v="1"/>
    <x v="33"/>
    <s v="Chả lụa quết nhất phẩm – 200G"/>
    <s v="CAY"/>
    <n v="13"/>
    <n v="2.6"/>
    <d v="1899-12-30T04:48:00"/>
    <n v="44455"/>
    <s v="Quality issue"/>
    <n v="89656.28879999998"/>
    <x v="0"/>
    <n v="0"/>
    <n v="0"/>
    <x v="0"/>
    <x v="0"/>
  </r>
  <r>
    <x v="0"/>
    <x v="5"/>
    <n v="44376"/>
    <x v="5"/>
    <x v="0"/>
    <x v="27"/>
    <x v="1"/>
    <x v="33"/>
    <s v="Chả lụa quết nhất phẩm – 200G"/>
    <s v="CAY"/>
    <n v="21"/>
    <n v="4.2"/>
    <d v="1899-12-30T04:48:00"/>
    <n v="44460"/>
    <s v="Quality issue"/>
    <n v="144829.38959999997"/>
    <x v="0"/>
    <n v="0"/>
    <n v="0"/>
    <x v="0"/>
    <x v="0"/>
  </r>
  <r>
    <x v="0"/>
    <x v="5"/>
    <n v="44376"/>
    <x v="5"/>
    <x v="0"/>
    <x v="27"/>
    <x v="1"/>
    <x v="9"/>
    <s v="Chả Lụa Quết Thượng Hạng 500G (mát)"/>
    <s v="CAY"/>
    <n v="70"/>
    <n v="35"/>
    <d v="1899-12-30T12:00:00"/>
    <n v="44444"/>
    <s v="Quality issue"/>
    <n v="1704393.9149999998"/>
    <x v="0"/>
    <n v="70"/>
    <n v="1704393.9149999998"/>
    <x v="0"/>
    <x v="0"/>
  </r>
  <r>
    <x v="0"/>
    <x v="5"/>
    <n v="44376"/>
    <x v="5"/>
    <x v="0"/>
    <x v="27"/>
    <x v="1"/>
    <x v="9"/>
    <s v="Chả Lụa Quết Thượng Hạng 500G (mát)"/>
    <s v="CAY"/>
    <n v="35"/>
    <n v="17.5"/>
    <d v="1899-12-30T12:00:00"/>
    <n v="44445"/>
    <s v="Quality issue"/>
    <n v="852196.9574999999"/>
    <x v="0"/>
    <n v="35"/>
    <n v="852196.9574999999"/>
    <x v="0"/>
    <x v="0"/>
  </r>
  <r>
    <x v="0"/>
    <x v="5"/>
    <n v="44376"/>
    <x v="5"/>
    <x v="0"/>
    <x v="27"/>
    <x v="1"/>
    <x v="9"/>
    <s v="Chả Lụa Quết Thượng Hạng 500G (mát)"/>
    <s v="CAY"/>
    <n v="17"/>
    <n v="8.5"/>
    <d v="1899-12-30T12:00:00"/>
    <n v="44446"/>
    <s v="Quality issue"/>
    <n v="413924.2365"/>
    <x v="0"/>
    <n v="17"/>
    <n v="413924.2365"/>
    <x v="0"/>
    <x v="0"/>
  </r>
  <r>
    <x v="0"/>
    <x v="5"/>
    <n v="44376"/>
    <x v="5"/>
    <x v="0"/>
    <x v="27"/>
    <x v="1"/>
    <x v="9"/>
    <s v="Chả Lụa Quết Thượng Hạng 500G (mát)"/>
    <s v="CAY"/>
    <n v="15"/>
    <n v="7.5"/>
    <d v="1899-12-30T12:00:00"/>
    <n v="44447"/>
    <s v="Quality issue"/>
    <n v="365227.26750000002"/>
    <x v="0"/>
    <n v="15"/>
    <n v="365227.26750000002"/>
    <x v="0"/>
    <x v="0"/>
  </r>
  <r>
    <x v="0"/>
    <x v="5"/>
    <n v="44376"/>
    <x v="5"/>
    <x v="0"/>
    <x v="27"/>
    <x v="1"/>
    <x v="9"/>
    <s v="Chả Lụa Quết Thượng Hạng 500G (mát)"/>
    <s v="CAY"/>
    <n v="16"/>
    <n v="8"/>
    <d v="1899-12-30T12:00:00"/>
    <n v="44448"/>
    <s v="Quality issue"/>
    <n v="389575.75199999998"/>
    <x v="0"/>
    <n v="16"/>
    <n v="389575.75199999998"/>
    <x v="0"/>
    <x v="0"/>
  </r>
  <r>
    <x v="0"/>
    <x v="5"/>
    <n v="44376"/>
    <x v="5"/>
    <x v="0"/>
    <x v="27"/>
    <x v="1"/>
    <x v="9"/>
    <s v="Chả Lụa Quết Thượng Hạng 500G (mát)"/>
    <s v="CAY"/>
    <n v="14"/>
    <n v="7"/>
    <d v="1899-12-30T12:00:00"/>
    <n v="44451"/>
    <s v="Quality issue"/>
    <n v="340878.783"/>
    <x v="0"/>
    <n v="14"/>
    <n v="340878.783"/>
    <x v="0"/>
    <x v="0"/>
  </r>
  <r>
    <x v="0"/>
    <x v="5"/>
    <n v="44376"/>
    <x v="5"/>
    <x v="0"/>
    <x v="27"/>
    <x v="1"/>
    <x v="9"/>
    <s v="Chả Lụa Quết Thượng Hạng 500G (mát)"/>
    <s v="CAY"/>
    <n v="34"/>
    <n v="17"/>
    <d v="1899-12-30T12:00:00"/>
    <n v="44452"/>
    <s v="Quality issue"/>
    <n v="827848.473"/>
    <x v="0"/>
    <n v="34"/>
    <n v="827848.473"/>
    <x v="0"/>
    <x v="0"/>
  </r>
  <r>
    <x v="0"/>
    <x v="5"/>
    <n v="44376"/>
    <x v="5"/>
    <x v="0"/>
    <x v="27"/>
    <x v="1"/>
    <x v="9"/>
    <s v="Chả Lụa Quết Thượng Hạng 500G (mát)"/>
    <s v="CAY"/>
    <n v="8"/>
    <n v="4"/>
    <d v="1899-12-30T12:00:00"/>
    <n v="44453"/>
    <s v="Quality issue"/>
    <n v="194787.87599999999"/>
    <x v="0"/>
    <n v="8"/>
    <n v="194787.87599999999"/>
    <x v="0"/>
    <x v="0"/>
  </r>
  <r>
    <x v="0"/>
    <x v="5"/>
    <n v="44376"/>
    <x v="5"/>
    <x v="0"/>
    <x v="27"/>
    <x v="1"/>
    <x v="9"/>
    <s v="Chả Lụa Quết Thượng Hạng 500G (mát)"/>
    <s v="CAY"/>
    <n v="9"/>
    <n v="4.5"/>
    <d v="1899-12-30T12:00:00"/>
    <n v="44454"/>
    <s v="Quality issue"/>
    <n v="219136.36050000001"/>
    <x v="0"/>
    <n v="9"/>
    <n v="219136.36050000001"/>
    <x v="0"/>
    <x v="0"/>
  </r>
  <r>
    <x v="0"/>
    <x v="5"/>
    <n v="44376"/>
    <x v="5"/>
    <x v="0"/>
    <x v="27"/>
    <x v="1"/>
    <x v="9"/>
    <s v="Chả Lụa Quết Thượng Hạng 500G (mát)"/>
    <s v="CAY"/>
    <n v="43"/>
    <n v="21.5"/>
    <d v="1899-12-30T12:00:00"/>
    <n v="44455"/>
    <s v="Quality issue"/>
    <n v="1046984.8334999999"/>
    <x v="0"/>
    <n v="43"/>
    <n v="1046984.8334999999"/>
    <x v="0"/>
    <x v="0"/>
  </r>
  <r>
    <x v="0"/>
    <x v="5"/>
    <n v="44376"/>
    <x v="5"/>
    <x v="0"/>
    <x v="27"/>
    <x v="1"/>
    <x v="9"/>
    <s v="Chả Lụa Quết Thượng Hạng 500G (mát)"/>
    <s v="CAY"/>
    <n v="30"/>
    <n v="15"/>
    <d v="1899-12-30T12:00:00"/>
    <n v="44456"/>
    <s v="Quality issue"/>
    <n v="730454.53500000003"/>
    <x v="0"/>
    <n v="30"/>
    <n v="730454.53500000003"/>
    <x v="0"/>
    <x v="0"/>
  </r>
  <r>
    <x v="0"/>
    <x v="5"/>
    <n v="44376"/>
    <x v="5"/>
    <x v="0"/>
    <x v="27"/>
    <x v="1"/>
    <x v="9"/>
    <s v="Chả Lụa Quết Thượng Hạng 500G (mát)"/>
    <s v="CAY"/>
    <n v="22"/>
    <n v="11"/>
    <d v="1899-12-30T12:00:00"/>
    <n v="44458"/>
    <s v="Quality issue"/>
    <n v="535666.65899999999"/>
    <x v="0"/>
    <n v="22"/>
    <n v="535666.65899999999"/>
    <x v="0"/>
    <x v="0"/>
  </r>
  <r>
    <x v="0"/>
    <x v="5"/>
    <n v="44376"/>
    <x v="5"/>
    <x v="0"/>
    <x v="27"/>
    <x v="1"/>
    <x v="9"/>
    <s v="Chả Lụa Quết Thượng Hạng 500G (mát)"/>
    <s v="CAY"/>
    <n v="46"/>
    <n v="23"/>
    <d v="1899-12-30T12:00:00"/>
    <n v="44461"/>
    <s v="Quality issue"/>
    <n v="1120030.287"/>
    <x v="0"/>
    <n v="46"/>
    <n v="1120030.287"/>
    <x v="0"/>
    <x v="0"/>
  </r>
  <r>
    <x v="0"/>
    <x v="5"/>
    <n v="44376"/>
    <x v="3"/>
    <x v="0"/>
    <x v="21"/>
    <x v="2"/>
    <x v="65"/>
    <s v="Đậu hũ chiên Ông Kim's 350gr"/>
    <s v="Hộp"/>
    <n v="10"/>
    <n v="3.5"/>
    <d v="1899-12-30T08:24:00"/>
    <n v="44375"/>
    <s v="Returns from customers due to distancing"/>
    <n v="112000.012"/>
    <x v="0"/>
    <n v="0"/>
    <n v="0"/>
    <x v="0"/>
    <x v="0"/>
  </r>
  <r>
    <x v="0"/>
    <x v="5"/>
    <n v="44376"/>
    <x v="3"/>
    <x v="0"/>
    <x v="21"/>
    <x v="2"/>
    <x v="65"/>
    <s v="Đậu hũ chiên Ông Kim's 350gr"/>
    <s v="Hộp"/>
    <n v="5"/>
    <n v="1.75"/>
    <d v="1899-12-30T08:24:00"/>
    <n v="44390"/>
    <s v="Returns from customers due to distancing"/>
    <n v="56000.006000000001"/>
    <x v="0"/>
    <n v="0"/>
    <n v="0"/>
    <x v="0"/>
    <x v="0"/>
  </r>
  <r>
    <x v="0"/>
    <x v="5"/>
    <n v="44376"/>
    <x v="0"/>
    <x v="0"/>
    <x v="18"/>
    <x v="2"/>
    <x v="105"/>
    <s v="BIBIGO Bánh xếp mỏng 455G*2"/>
    <s v="Lốc"/>
    <n v="16"/>
    <n v="14.56"/>
    <d v="1899-12-30T21:50:24"/>
    <n v="44461"/>
    <s v="Low sales"/>
    <n v="847246.56799999997"/>
    <x v="0"/>
    <n v="8"/>
    <n v="423623.28399999999"/>
    <x v="0"/>
    <x v="0"/>
  </r>
  <r>
    <x v="0"/>
    <x v="5"/>
    <n v="44376"/>
    <x v="0"/>
    <x v="0"/>
    <x v="18"/>
    <x v="2"/>
    <x v="106"/>
    <s v="Bánh Mini Mandu Thịt CJ Bibigo - gói 1.505kg- Thùng 9,03 kg"/>
    <s v="Gói"/>
    <n v="12"/>
    <n v="18.059999999999999"/>
    <d v="1899-12-31T12:07:12"/>
    <n v="44528"/>
    <s v="Cannot be used for Lau tha Long Cung"/>
    <n v="941568"/>
    <x v="0"/>
    <n v="0"/>
    <n v="0"/>
    <x v="0"/>
    <x v="0"/>
  </r>
  <r>
    <x v="0"/>
    <x v="6"/>
    <n v="44383"/>
    <x v="3"/>
    <x v="0"/>
    <x v="12"/>
    <x v="0"/>
    <x v="18"/>
    <s v="Kim chi cải thảo cắt lát Ông Kim's 300g"/>
    <s v="Hộp"/>
    <n v="25"/>
    <n v="7.5"/>
    <d v="1899-12-30T07:12:00"/>
    <n v="44402"/>
    <s v="Low sales"/>
    <n v="195388.73749999999"/>
    <x v="0"/>
    <n v="25"/>
    <n v="195388.73749999999"/>
    <x v="0"/>
    <x v="0"/>
  </r>
  <r>
    <x v="0"/>
    <x v="6"/>
    <n v="44383"/>
    <x v="3"/>
    <x v="0"/>
    <x v="21"/>
    <x v="2"/>
    <x v="66"/>
    <s v="Đậu hũ miếng Bibigo Ông Kim's 250gr"/>
    <s v="Hộp"/>
    <n v="20"/>
    <n v="5"/>
    <d v="1899-12-30T06:00:00"/>
    <n v="44390"/>
    <s v="Returns from customers due to distancing"/>
    <n v="122000"/>
    <x v="0"/>
    <n v="0"/>
    <n v="0"/>
    <x v="0"/>
    <x v="0"/>
  </r>
  <r>
    <x v="0"/>
    <x v="6"/>
    <n v="44383"/>
    <x v="3"/>
    <x v="0"/>
    <x v="21"/>
    <x v="2"/>
    <x v="87"/>
    <s v="Đậu hũ non Bibigo Ông Kim's 220gr"/>
    <s v="Túi"/>
    <n v="49"/>
    <n v="10.78"/>
    <d v="1899-12-30T05:16:48"/>
    <n v="44389"/>
    <s v="Returns from customers due to distancing"/>
    <n v="210699.96570000003"/>
    <x v="0"/>
    <n v="4"/>
    <n v="17199.997200000002"/>
    <x v="0"/>
    <x v="0"/>
  </r>
  <r>
    <x v="0"/>
    <x v="6"/>
    <n v="44383"/>
    <x v="3"/>
    <x v="0"/>
    <x v="21"/>
    <x v="2"/>
    <x v="107"/>
    <s v="Đậu hũ non Bibigo Ông Kim's 250gr"/>
    <s v="Hộp"/>
    <n v="4"/>
    <n v="1"/>
    <d v="1899-12-30T06:00:00"/>
    <n v="44389"/>
    <s v="Returns from customers due to distancing"/>
    <n v="21599.9656"/>
    <x v="0"/>
    <n v="4"/>
    <n v="21599.9656"/>
    <x v="0"/>
    <x v="0"/>
  </r>
  <r>
    <x v="0"/>
    <x v="6"/>
    <n v="44383"/>
    <x v="5"/>
    <x v="0"/>
    <x v="16"/>
    <x v="2"/>
    <x v="102"/>
    <s v="Deli bò viên  500g  40 viên/kg"/>
    <s v="Kg"/>
    <n v="1"/>
    <n v="1"/>
    <d v="1899-12-31T00:00:00"/>
    <n v="44414"/>
    <s v="Low sales"/>
    <n v="52200"/>
    <x v="0"/>
    <n v="1"/>
    <n v="52200"/>
    <x v="0"/>
    <x v="0"/>
  </r>
  <r>
    <x v="0"/>
    <x v="6"/>
    <n v="44383"/>
    <x v="5"/>
    <x v="0"/>
    <x v="16"/>
    <x v="2"/>
    <x v="102"/>
    <s v="Deli bò viên  500g  40 viên/kg"/>
    <s v="Kg"/>
    <n v="0.5"/>
    <n v="0.5"/>
    <d v="1899-12-31T00:00:00"/>
    <n v="44418"/>
    <s v="Low sales"/>
    <n v="26100"/>
    <x v="0"/>
    <n v="0"/>
    <n v="0"/>
    <x v="0"/>
    <x v="0"/>
  </r>
  <r>
    <x v="0"/>
    <x v="6"/>
    <n v="44383"/>
    <x v="3"/>
    <x v="0"/>
    <x v="12"/>
    <x v="2"/>
    <x v="41"/>
    <s v="Bibigo Kimchi cải thảo chay 500gr"/>
    <s v="Hộp"/>
    <n v="24"/>
    <n v="12"/>
    <d v="1899-12-30T12:00:00"/>
    <n v="44402"/>
    <s v="Returns from customers due to distancing"/>
    <n v="468028.43519999995"/>
    <x v="0"/>
    <n v="24"/>
    <n v="468028.43519999995"/>
    <x v="0"/>
    <x v="0"/>
  </r>
  <r>
    <x v="0"/>
    <x v="6"/>
    <n v="44383"/>
    <x v="3"/>
    <x v="0"/>
    <x v="12"/>
    <x v="2"/>
    <x v="68"/>
    <s v="Bibigo Kimchi cải thảo - ngò 500gr"/>
    <s v="Hộp"/>
    <n v="24"/>
    <n v="12"/>
    <d v="1899-12-30T12:00:00"/>
    <n v="44402"/>
    <s v="Returns from customers due to distancing"/>
    <n v="505541.424"/>
    <x v="0"/>
    <n v="24"/>
    <n v="505541.424"/>
    <x v="0"/>
    <x v="0"/>
  </r>
  <r>
    <x v="0"/>
    <x v="6"/>
    <n v="44383"/>
    <x v="3"/>
    <x v="0"/>
    <x v="12"/>
    <x v="2"/>
    <x v="18"/>
    <s v="Kim chi cải thảo cắt lát Ông Kim's 300g"/>
    <s v="Hộp"/>
    <n v="48"/>
    <n v="14.4"/>
    <d v="1899-12-30T07:12:00"/>
    <n v="44405"/>
    <s v="Returns from customers due to distancing"/>
    <n v="375146.37599999993"/>
    <x v="0"/>
    <n v="48"/>
    <n v="375146.37599999993"/>
    <x v="0"/>
    <x v="0"/>
  </r>
  <r>
    <x v="0"/>
    <x v="6"/>
    <n v="44383"/>
    <x v="5"/>
    <x v="0"/>
    <x v="23"/>
    <x v="2"/>
    <x v="84"/>
    <s v="Xúc xích heo vị Mexico (mini) hiệu REAL Gói 200g"/>
    <s v="Gói"/>
    <n v="20"/>
    <n v="4"/>
    <d v="1899-12-30T04:48:00"/>
    <n v="44402"/>
    <s v="Returns from customers due to distancing"/>
    <n v="404023.31"/>
    <x v="0"/>
    <n v="20"/>
    <n v="404023.31"/>
    <x v="0"/>
    <x v="0"/>
  </r>
  <r>
    <x v="0"/>
    <x v="6"/>
    <n v="44383"/>
    <x v="5"/>
    <x v="0"/>
    <x v="24"/>
    <x v="2"/>
    <x v="33"/>
    <s v="Chả lụa quết nhất phẩm – 200G"/>
    <s v="Gói"/>
    <n v="5"/>
    <n v="1"/>
    <d v="1899-12-30T04:48:00"/>
    <n v="44419"/>
    <s v="Returns from customers due to distancing"/>
    <n v="89499.702499999999"/>
    <x v="0"/>
    <n v="5"/>
    <n v="89499.702499999999"/>
    <x v="0"/>
    <x v="0"/>
  </r>
  <r>
    <x v="0"/>
    <x v="6"/>
    <n v="44390"/>
    <x v="7"/>
    <x v="0"/>
    <x v="21"/>
    <x v="0"/>
    <x v="20"/>
    <s v="튀김가루 1KGBEKSUL) Bột chiên"/>
    <s v="EA"/>
    <n v="1"/>
    <n v="1"/>
    <d v="1899-12-31T00:00:00"/>
    <n v="44545"/>
    <s v="Low sales"/>
    <n v="16940.718400000002"/>
    <x v="0"/>
    <n v="1"/>
    <n v="16940.718400000002"/>
    <x v="0"/>
    <x v="0"/>
  </r>
  <r>
    <x v="0"/>
    <x v="6"/>
    <n v="44390"/>
    <x v="8"/>
    <x v="1"/>
    <x v="22"/>
    <x v="1"/>
    <x v="99"/>
    <s v="Bột sữa dừa"/>
    <s v="Kg"/>
    <n v="45"/>
    <n v="45"/>
    <d v="1899-12-31T00:00:00"/>
    <n v="44563"/>
    <s v="No production plan, use for export products"/>
    <n v="4859550"/>
    <x v="0"/>
    <n v="0"/>
    <n v="0"/>
    <x v="0"/>
    <x v="0"/>
  </r>
  <r>
    <x v="0"/>
    <x v="6"/>
    <n v="44390"/>
    <x v="8"/>
    <x v="1"/>
    <x v="22"/>
    <x v="1"/>
    <x v="101"/>
    <s v="Nước chấm chả giò (chay) 50gr/gói"/>
    <s v="GOI"/>
    <n v="14590"/>
    <n v="729.5"/>
    <d v="1899-12-30T01:12:00"/>
    <n v="44492"/>
    <s v="No production plan, use for export product in the past, De MKT Shrimp Spring Roll TF"/>
    <n v="17508000"/>
    <x v="0"/>
    <n v="0"/>
    <n v="0"/>
    <x v="0"/>
    <x v="0"/>
  </r>
  <r>
    <x v="0"/>
    <x v="6"/>
    <n v="44390"/>
    <x v="5"/>
    <x v="0"/>
    <x v="16"/>
    <x v="2"/>
    <x v="108"/>
    <s v="Cá viên 500g 280 viên/kg"/>
    <s v="Kg"/>
    <n v="32"/>
    <n v="32"/>
    <d v="1899-12-31T00:00:00"/>
    <n v="44409"/>
    <s v="Low sales"/>
    <n v="889600"/>
    <x v="0"/>
    <n v="21.5"/>
    <n v="597700"/>
    <x v="0"/>
    <x v="0"/>
  </r>
  <r>
    <x v="0"/>
    <x v="6"/>
    <n v="44390"/>
    <x v="5"/>
    <x v="0"/>
    <x v="16"/>
    <x v="2"/>
    <x v="89"/>
    <s v="Hương vị tôm viên 500g 280 viên/kg"/>
    <s v="Kg"/>
    <n v="30"/>
    <n v="30"/>
    <d v="1899-12-31T00:00:00"/>
    <n v="44410"/>
    <s v="Low sales"/>
    <n v="939536.18700000003"/>
    <x v="0"/>
    <n v="30"/>
    <n v="939536.18700000003"/>
    <x v="0"/>
    <x v="0"/>
  </r>
  <r>
    <x v="0"/>
    <x v="6"/>
    <n v="44390"/>
    <x v="4"/>
    <x v="0"/>
    <x v="8"/>
    <x v="2"/>
    <x v="109"/>
    <s v="CJ Bibigo Xốt ướp thịt Bulgogi - Vị ớt cay 80 gr"/>
    <s v="Gói"/>
    <n v="2"/>
    <n v="0.16"/>
    <d v="1899-12-30T01:55:12"/>
    <n v="44548"/>
    <s v="Low sales"/>
    <n v="3477.951"/>
    <x v="0"/>
    <n v="0"/>
    <n v="0"/>
    <x v="0"/>
    <x v="0"/>
  </r>
  <r>
    <x v="0"/>
    <x v="6"/>
    <n v="44390"/>
    <x v="5"/>
    <x v="0"/>
    <x v="23"/>
    <x v="2"/>
    <x v="110"/>
    <s v="Xúc Xích 3 Khỏe – REAL 50g x 10 cây - Gói 500g"/>
    <s v="Gói"/>
    <n v="12"/>
    <n v="6"/>
    <d v="1899-12-30T12:00:00"/>
    <n v="44410"/>
    <s v="Return from distributors"/>
    <n v="259176.29639999999"/>
    <x v="0"/>
    <n v="12"/>
    <n v="259176.29639999999"/>
    <x v="0"/>
    <x v="0"/>
  </r>
  <r>
    <x v="0"/>
    <x v="6"/>
    <n v="44390"/>
    <x v="0"/>
    <x v="0"/>
    <x v="18"/>
    <x v="2"/>
    <x v="106"/>
    <s v="Bánh Mini Mandu Thịt CJ Bibigo - gói 1.505kg- Thùng 9,03 kg"/>
    <s v="Gói"/>
    <n v="2"/>
    <n v="3.01"/>
    <d v="1899-12-31T12:07:12"/>
    <n v="44567"/>
    <s v="Low sales"/>
    <n v="196000"/>
    <x v="0"/>
    <n v="2"/>
    <n v="196000"/>
    <x v="0"/>
    <x v="0"/>
  </r>
  <r>
    <x v="0"/>
    <x v="6"/>
    <n v="44390"/>
    <x v="0"/>
    <x v="0"/>
    <x v="18"/>
    <x v="2"/>
    <x v="111"/>
    <s v="Bánh Mandu Thịt và Bắp CJ Bibigo – Gói 350g"/>
    <s v="Gói"/>
    <n v="27"/>
    <n v="9.4499999999999993"/>
    <d v="1899-12-30T08:24:00"/>
    <n v="44569"/>
    <s v="Return from distributors"/>
    <n v="577800.52110000001"/>
    <x v="0"/>
    <n v="0"/>
    <n v="0"/>
    <x v="0"/>
    <x v="0"/>
  </r>
  <r>
    <x v="0"/>
    <x v="6"/>
    <n v="44397"/>
    <x v="5"/>
    <x v="0"/>
    <x v="16"/>
    <x v="2"/>
    <x v="112"/>
    <s v="Hương vị tôm viên 500g 160 viên/kg"/>
    <s v="Kg"/>
    <n v="0.5"/>
    <n v="0.5"/>
    <d v="1899-12-31T00:00:00"/>
    <n v="44431"/>
    <s v="Low sales"/>
    <n v="15863.492550000001"/>
    <x v="0"/>
    <n v="0.5"/>
    <n v="15863.492550000001"/>
    <x v="0"/>
    <x v="0"/>
  </r>
  <r>
    <x v="0"/>
    <x v="6"/>
    <n v="44397"/>
    <x v="5"/>
    <x v="0"/>
    <x v="11"/>
    <x v="2"/>
    <x v="113"/>
    <s v="Chả cá dây 500g"/>
    <s v="Kg"/>
    <n v="0.5"/>
    <n v="0.5"/>
    <d v="1899-12-31T00:00:00"/>
    <n v="44428"/>
    <s v="Low sales"/>
    <n v="17692.228650000001"/>
    <x v="0"/>
    <n v="0.5"/>
    <n v="17692.228650000001"/>
    <x v="0"/>
    <x v="0"/>
  </r>
  <r>
    <x v="0"/>
    <x v="6"/>
    <n v="44397"/>
    <x v="3"/>
    <x v="0"/>
    <x v="12"/>
    <x v="2"/>
    <x v="85"/>
    <s v="Bibigo Kimchi cải thảo cắt lát 100gr"/>
    <s v="Túi"/>
    <n v="2"/>
    <n v="0.2"/>
    <d v="1899-12-30T02:24:00"/>
    <n v="44433"/>
    <s v="Return order"/>
    <n v="11794.017400000001"/>
    <x v="0"/>
    <n v="2"/>
    <n v="11794.017400000001"/>
    <x v="0"/>
    <x v="0"/>
  </r>
  <r>
    <x v="0"/>
    <x v="6"/>
    <n v="44397"/>
    <x v="0"/>
    <x v="0"/>
    <x v="12"/>
    <x v="2"/>
    <x v="105"/>
    <s v="BIBIGO Bánh xếp mỏng 455G*2"/>
    <s v="Lốc"/>
    <n v="8"/>
    <n v="7.28"/>
    <d v="1899-12-30T21:50:24"/>
    <n v="44461"/>
    <s v="Low sales"/>
    <n v="423623.28399999999"/>
    <x v="0"/>
    <n v="0"/>
    <n v="0"/>
    <x v="0"/>
    <x v="0"/>
  </r>
  <r>
    <x v="0"/>
    <x v="6"/>
    <n v="44397"/>
    <x v="5"/>
    <x v="0"/>
    <x v="18"/>
    <x v="2"/>
    <x v="9"/>
    <s v="Chả Lụa Quết Thượng Hạng 500g (mát)"/>
    <s v="Gói"/>
    <n v="12"/>
    <n v="6"/>
    <d v="1899-12-30T12:00:00"/>
    <n v="44432"/>
    <s v="Return order"/>
    <n v="639672.19319999998"/>
    <x v="0"/>
    <n v="12"/>
    <n v="639672.19319999998"/>
    <x v="0"/>
    <x v="0"/>
  </r>
  <r>
    <x v="0"/>
    <x v="6"/>
    <n v="44404"/>
    <x v="3"/>
    <x v="0"/>
    <x v="12"/>
    <x v="0"/>
    <x v="18"/>
    <s v="Kim chi cải thảo cắt lát Ông Kim's 300g"/>
    <s v="Hộp"/>
    <n v="140"/>
    <n v="42"/>
    <d v="1899-12-30T07:12:00"/>
    <n v="44423"/>
    <s v="Low sales"/>
    <n v="1094176.93"/>
    <x v="0"/>
    <n v="95"/>
    <n v="742477.2024999999"/>
    <x v="0"/>
    <x v="0"/>
  </r>
  <r>
    <x v="0"/>
    <x v="6"/>
    <n v="44404"/>
    <x v="3"/>
    <x v="0"/>
    <x v="21"/>
    <x v="2"/>
    <x v="87"/>
    <s v="Đậu hũ non Bibigo Ông Kim's 220gr"/>
    <s v="Túi"/>
    <n v="13"/>
    <n v="2.86"/>
    <d v="1899-12-30T05:16:48"/>
    <n v="44412"/>
    <s v="Return order"/>
    <n v="55899.990899999997"/>
    <x v="0"/>
    <n v="13"/>
    <n v="55899.990899999997"/>
    <x v="0"/>
    <x v="0"/>
  </r>
  <r>
    <x v="0"/>
    <x v="6"/>
    <n v="44404"/>
    <x v="5"/>
    <x v="0"/>
    <x v="16"/>
    <x v="2"/>
    <x v="102"/>
    <s v="Deli bò viên  500g  40 viên/kg"/>
    <s v="Kg"/>
    <n v="63"/>
    <n v="63"/>
    <d v="1899-12-31T00:00:00"/>
    <n v="44426"/>
    <s v="Low sales"/>
    <n v="3288600"/>
    <x v="0"/>
    <n v="41"/>
    <n v="2140200"/>
    <x v="0"/>
    <x v="0"/>
  </r>
  <r>
    <x v="0"/>
    <x v="6"/>
    <n v="44404"/>
    <x v="5"/>
    <x v="0"/>
    <x v="16"/>
    <x v="2"/>
    <x v="102"/>
    <s v="Deli bò viên  500g  40 viên/kg"/>
    <s v="Kg"/>
    <n v="0.5"/>
    <n v="0.5"/>
    <d v="1899-12-31T00:00:00"/>
    <n v="44426"/>
    <s v="Low sales"/>
    <n v="26100"/>
    <x v="0"/>
    <n v="0"/>
    <n v="0"/>
    <x v="0"/>
    <x v="0"/>
  </r>
  <r>
    <x v="0"/>
    <x v="6"/>
    <n v="44404"/>
    <x v="3"/>
    <x v="0"/>
    <x v="12"/>
    <x v="2"/>
    <x v="53"/>
    <s v="Kim chi cải thảo cắt lát Ông Kim's 5kg (B2B) - GGG"/>
    <s v="Túi"/>
    <n v="21"/>
    <n v="105"/>
    <d v="1900-01-04T00:00:00"/>
    <n v="44421"/>
    <s v="GGG cannot use due to lockdown"/>
    <n v="2044988.3559000001"/>
    <x v="0"/>
    <n v="9"/>
    <n v="876423.58109999995"/>
    <x v="0"/>
    <x v="0"/>
  </r>
  <r>
    <x v="0"/>
    <x v="6"/>
    <n v="44404"/>
    <x v="3"/>
    <x v="0"/>
    <x v="12"/>
    <x v="2"/>
    <x v="53"/>
    <s v="Kim chi cải thảo cắt lát Ông Kim's 5kg (B2B) - GGG"/>
    <s v="Túi"/>
    <n v="2"/>
    <n v="10"/>
    <d v="1900-01-04T00:00:00"/>
    <n v="44426"/>
    <s v="GGG cannot use due to lockdown"/>
    <n v="194760.79579999999"/>
    <x v="0"/>
    <n v="0"/>
    <n v="0"/>
    <x v="0"/>
    <x v="0"/>
  </r>
  <r>
    <x v="0"/>
    <x v="6"/>
    <n v="44404"/>
    <x v="3"/>
    <x v="0"/>
    <x v="12"/>
    <x v="2"/>
    <x v="53"/>
    <s v="Kim chi cải thảo cắt lát Ông Kim's 5kg (B2B) - GGG"/>
    <s v="Túi"/>
    <n v="8"/>
    <n v="40"/>
    <d v="1900-01-04T00:00:00"/>
    <n v="44432"/>
    <s v="GGG cannot use due to lockdown"/>
    <n v="779043.18319999997"/>
    <x v="0"/>
    <n v="0"/>
    <n v="0"/>
    <x v="0"/>
    <x v="0"/>
  </r>
  <r>
    <x v="0"/>
    <x v="6"/>
    <n v="44404"/>
    <x v="0"/>
    <x v="0"/>
    <x v="18"/>
    <x v="2"/>
    <x v="114"/>
    <s v="Bánh Mandu Hải Sản CJ Bibigo – Gói 350g"/>
    <s v="Gói"/>
    <n v="27"/>
    <n v="9.4499999999999993"/>
    <d v="1899-12-30T08:24:00"/>
    <n v="44531"/>
    <s v="Return order"/>
    <n v="588464.7084"/>
    <x v="0"/>
    <n v="27"/>
    <n v="588464.7084"/>
    <x v="0"/>
    <x v="0"/>
  </r>
  <r>
    <x v="0"/>
    <x v="7"/>
    <n v="44411"/>
    <x v="5"/>
    <x v="0"/>
    <x v="16"/>
    <x v="2"/>
    <x v="115"/>
    <s v="Hương vị bò viên 500g 160  viên/kg"/>
    <s v="Kg"/>
    <n v="43.5"/>
    <n v="43.5"/>
    <d v="1899-12-31T00:00:00"/>
    <n v="44444"/>
    <s v="Low sales"/>
    <n v="1348499.5127999999"/>
    <x v="0"/>
    <n v="44"/>
    <n v="1363999.5072000001"/>
    <x v="0"/>
    <x v="0"/>
  </r>
  <r>
    <x v="0"/>
    <x v="7"/>
    <n v="44411"/>
    <x v="5"/>
    <x v="0"/>
    <x v="16"/>
    <x v="2"/>
    <x v="116"/>
    <s v="Deli cá viên 500g 160 viên/kg"/>
    <s v="Kg"/>
    <n v="2"/>
    <n v="2"/>
    <d v="1899-12-31T00:00:00"/>
    <n v="44444"/>
    <s v="Low sales"/>
    <n v="66011.520799999998"/>
    <x v="0"/>
    <n v="2"/>
    <n v="66011.520799999998"/>
    <x v="0"/>
    <x v="0"/>
  </r>
  <r>
    <x v="0"/>
    <x v="7"/>
    <n v="44411"/>
    <x v="5"/>
    <x v="0"/>
    <x v="16"/>
    <x v="2"/>
    <x v="67"/>
    <s v="Cá viên 500g 160 viên/kg"/>
    <s v="Kg"/>
    <n v="10.5"/>
    <n v="10.5"/>
    <d v="1899-12-31T00:00:00"/>
    <n v="44437"/>
    <s v="Low sales"/>
    <n v="291881.86439999996"/>
    <x v="0"/>
    <n v="11"/>
    <n v="305781.00079999992"/>
    <x v="0"/>
    <x v="0"/>
  </r>
  <r>
    <x v="0"/>
    <x v="7"/>
    <n v="44411"/>
    <x v="5"/>
    <x v="0"/>
    <x v="16"/>
    <x v="2"/>
    <x v="112"/>
    <s v="Hương vị tôm viên 500g 160 viên/kg"/>
    <s v="Kg"/>
    <n v="6.5"/>
    <n v="6.5"/>
    <d v="1899-12-31T00:00:00"/>
    <n v="44438"/>
    <s v="Low sales"/>
    <n v="206225.40315"/>
    <x v="0"/>
    <n v="1"/>
    <n v="31726.985100000002"/>
    <x v="0"/>
    <x v="0"/>
  </r>
  <r>
    <x v="0"/>
    <x v="7"/>
    <n v="44411"/>
    <x v="1"/>
    <x v="0"/>
    <x v="29"/>
    <x v="2"/>
    <x v="117"/>
    <s v="Cầu Tre Pure bún tươi 150g"/>
    <s v="Gói"/>
    <n v="5"/>
    <n v="0.75"/>
    <d v="1899-12-30T03:36:00"/>
    <n v="44623"/>
    <s v="Low sales"/>
    <n v="14857.672"/>
    <x v="0"/>
    <n v="5"/>
    <n v="14857.672"/>
    <x v="0"/>
    <x v="0"/>
  </r>
  <r>
    <x v="0"/>
    <x v="7"/>
    <n v="44411"/>
    <x v="0"/>
    <x v="0"/>
    <x v="18"/>
    <x v="2"/>
    <x v="83"/>
    <s v="BIBIGO Há cảo hấp 168G"/>
    <s v="Gói"/>
    <n v="8"/>
    <n v="1.3440000000000001"/>
    <d v="1899-12-30T04:01:55"/>
    <n v="44529"/>
    <s v="Return order"/>
    <n v="158585.27119999999"/>
    <x v="0"/>
    <n v="8"/>
    <n v="158585.27119999999"/>
    <x v="0"/>
    <x v="0"/>
  </r>
  <r>
    <x v="0"/>
    <x v="7"/>
    <n v="44411"/>
    <x v="0"/>
    <x v="0"/>
    <x v="18"/>
    <x v="2"/>
    <x v="83"/>
    <s v="BIBIGO Há cảo hấp 168G"/>
    <s v="Gói"/>
    <n v="24"/>
    <n v="4.032"/>
    <d v="1899-12-30T04:01:55"/>
    <n v="44536"/>
    <s v="Return order"/>
    <n v="475755.81359999999"/>
    <x v="0"/>
    <n v="0"/>
    <n v="0"/>
    <x v="0"/>
    <x v="0"/>
  </r>
  <r>
    <x v="0"/>
    <x v="7"/>
    <n v="44411"/>
    <x v="0"/>
    <x v="0"/>
    <x v="18"/>
    <x v="2"/>
    <x v="88"/>
    <s v="Bánh Mandu Thịt CJ Bibigo – Gói 350g"/>
    <s v="Gói"/>
    <n v="1"/>
    <n v="0.35"/>
    <d v="1899-12-30T08:24:00"/>
    <n v="44566"/>
    <s v="Return order"/>
    <n v="20494.718000000001"/>
    <x v="0"/>
    <n v="0"/>
    <n v="0"/>
    <x v="0"/>
    <x v="0"/>
  </r>
  <r>
    <x v="0"/>
    <x v="7"/>
    <n v="44411"/>
    <x v="5"/>
    <x v="0"/>
    <x v="24"/>
    <x v="2"/>
    <x v="74"/>
    <s v="Chả Bò Quết Thượng Hạng 500g (mát)"/>
    <s v="Gói"/>
    <n v="17"/>
    <n v="8.5"/>
    <d v="1899-12-30T12:00:00"/>
    <n v="44429"/>
    <s v="Return order"/>
    <n v="1156461.1896000002"/>
    <x v="0"/>
    <n v="12"/>
    <n v="816325.54559999995"/>
    <x v="0"/>
    <x v="0"/>
  </r>
  <r>
    <x v="0"/>
    <x v="7"/>
    <n v="44411"/>
    <x v="0"/>
    <x v="0"/>
    <x v="0"/>
    <x v="2"/>
    <x v="118"/>
    <s v="Chả giò chay - Gói 500g"/>
    <s v="Gói"/>
    <n v="10"/>
    <n v="5"/>
    <d v="1899-12-30T12:00:00"/>
    <n v="44636"/>
    <s v="Return order"/>
    <n v="152999.97999999998"/>
    <x v="0"/>
    <n v="0"/>
    <n v="0"/>
    <x v="0"/>
    <x v="0"/>
  </r>
  <r>
    <x v="0"/>
    <x v="7"/>
    <n v="44412"/>
    <x v="5"/>
    <x v="0"/>
    <x v="23"/>
    <x v="1"/>
    <x v="119"/>
    <s v="Xúc xích 3 khỏe 32gr"/>
    <s v="Kg"/>
    <n v="100"/>
    <n v="100"/>
    <d v="1899-12-31T00:00:00"/>
    <m/>
    <s v="Xúc xích đặt từ team 2 sử dụng cho sản phẩm Ohya corndog thay đổi công thức mới, đồng bộ thay đổi AW Bao bì, tuy nhiên chênh lệch giữa xúc xích CT cũ – bao bì AW cũ nên còn dư số lượng như bên dưới, FSC không đồng ý sử dụng xúc xích cũ – AW mới."/>
    <n v="6734026.0299999993"/>
    <x v="0"/>
    <n v="0"/>
    <n v="0"/>
    <x v="0"/>
    <x v="0"/>
  </r>
  <r>
    <x v="0"/>
    <x v="7"/>
    <n v="44412"/>
    <x v="8"/>
    <x v="1"/>
    <x v="22"/>
    <x v="1"/>
    <x v="120"/>
    <s v="Chiết xuất xương bò – Beef bone extract"/>
    <s v="Kg"/>
    <n v="100"/>
    <n v="100"/>
    <d v="1899-12-31T00:00:00"/>
    <n v="44442"/>
    <s v="High MOQ, low production volume "/>
    <n v="32003400"/>
    <x v="0"/>
    <n v="20"/>
    <n v="6400680"/>
    <x v="0"/>
    <x v="0"/>
  </r>
  <r>
    <x v="0"/>
    <x v="7"/>
    <n v="44412"/>
    <x v="8"/>
    <x v="1"/>
    <x v="22"/>
    <x v="1"/>
    <x v="121"/>
    <s v="Tương ớt (không chất bảo quản)."/>
    <s v="Kg"/>
    <n v="96"/>
    <n v="96"/>
    <d v="1899-12-31T00:00:00"/>
    <n v="44427"/>
    <s v="HP Issue- stop using because stop produce Hoa Qua Son hotpot "/>
    <n v="1488000"/>
    <x v="0"/>
    <n v="32"/>
    <n v="496000"/>
    <x v="0"/>
    <x v="0"/>
  </r>
  <r>
    <x v="0"/>
    <x v="7"/>
    <n v="44415"/>
    <x v="8"/>
    <x v="1"/>
    <x v="22"/>
    <x v="1"/>
    <x v="122"/>
    <s v="Hạt điều màu"/>
    <s v="Kg"/>
    <n v="6"/>
    <n v="6"/>
    <d v="1899-12-31T00:00:00"/>
    <n v="44347"/>
    <s v="Out-of-dated but can be used by CJ Made Kitchen"/>
    <n v="567000"/>
    <x v="0"/>
    <n v="6"/>
    <n v="567000"/>
    <x v="0"/>
    <x v="0"/>
  </r>
  <r>
    <x v="0"/>
    <x v="7"/>
    <n v="44415"/>
    <x v="8"/>
    <x v="1"/>
    <x v="22"/>
    <x v="1"/>
    <x v="123"/>
    <s v="Beef Shank (Bắp bò)"/>
    <s v="Kg"/>
    <n v="1764.8"/>
    <n v="1764.8"/>
    <d v="1899-12-31T00:00:00"/>
    <n v="44713"/>
    <s v="It is uniquely used Cháo bò and cannot utilize for other FGs"/>
    <n v="79416000"/>
    <x v="0"/>
    <n v="972.27"/>
    <n v="43752150"/>
    <x v="0"/>
    <x v="0"/>
  </r>
  <r>
    <x v="0"/>
    <x v="7"/>
    <n v="44426"/>
    <x v="3"/>
    <x v="0"/>
    <x v="21"/>
    <x v="2"/>
    <x v="87"/>
    <s v="Đậu hũ non Bibigo Ông Kim's 220gr"/>
    <s v="Cây"/>
    <n v="40"/>
    <n v="8.8000000000000007"/>
    <d v="1899-12-30T05:16:48"/>
    <n v="44432"/>
    <s v="Return order"/>
    <n v="171999.97200000001"/>
    <x v="0"/>
    <n v="25"/>
    <n v="107499.9825"/>
    <x v="0"/>
    <x v="0"/>
  </r>
  <r>
    <x v="0"/>
    <x v="7"/>
    <n v="44426"/>
    <x v="3"/>
    <x v="0"/>
    <x v="12"/>
    <x v="2"/>
    <x v="53"/>
    <s v="Kim chi cải thảo cắt lát Ông Kim's 5kg (B2B) - GGG"/>
    <s v="Túi"/>
    <n v="2"/>
    <n v="10"/>
    <d v="1900-01-04T00:00:00"/>
    <n v="44446"/>
    <s v="Return order"/>
    <n v="188760.79579999999"/>
    <x v="0"/>
    <n v="2"/>
    <n v="188760.79579999999"/>
    <x v="0"/>
    <x v="0"/>
  </r>
  <r>
    <x v="0"/>
    <x v="7"/>
    <n v="44426"/>
    <x v="3"/>
    <x v="0"/>
    <x v="12"/>
    <x v="2"/>
    <x v="41"/>
    <s v="Bibigo Kimchi cải thảo chay 500gr"/>
    <s v="Hộp"/>
    <n v="24"/>
    <n v="12"/>
    <d v="1899-12-30T12:00:00"/>
    <n v="44446"/>
    <s v="Return order"/>
    <n v="468028.43519999995"/>
    <x v="0"/>
    <n v="0"/>
    <n v="0"/>
    <x v="0"/>
    <x v="0"/>
  </r>
  <r>
    <x v="0"/>
    <x v="7"/>
    <n v="44426"/>
    <x v="7"/>
    <x v="0"/>
    <x v="30"/>
    <x v="2"/>
    <x v="20"/>
    <s v="(BEKSUL) Bột chiên 1KG"/>
    <s v="Gói"/>
    <n v="7"/>
    <n v="7"/>
    <d v="1899-12-31T00:00:00"/>
    <n v="44596"/>
    <s v="Low sales"/>
    <n v="118585.0288"/>
    <x v="0"/>
    <n v="0"/>
    <n v="0"/>
    <x v="0"/>
    <x v="0"/>
  </r>
  <r>
    <x v="0"/>
    <x v="7"/>
    <n v="44426"/>
    <x v="4"/>
    <x v="0"/>
    <x v="5"/>
    <x v="2"/>
    <x v="124"/>
    <s v="BIBIGO XỐT NẤU TOKBOKKI VỊ CAY NGỌT (120G*20EA)/CT"/>
    <s v="Gói"/>
    <n v="7"/>
    <n v="0.84"/>
    <d v="1899-12-30T02:52:48"/>
    <n v="44597"/>
    <s v="Low sales"/>
    <n v="34013.515899999999"/>
    <x v="0"/>
    <n v="0"/>
    <n v="0"/>
    <x v="0"/>
    <x v="0"/>
  </r>
  <r>
    <x v="0"/>
    <x v="7"/>
    <n v="44426"/>
    <x v="5"/>
    <x v="0"/>
    <x v="24"/>
    <x v="2"/>
    <x v="76"/>
    <s v="Chả Lụa 3 khỏe 500g"/>
    <s v="Cây"/>
    <n v="1"/>
    <n v="0.5"/>
    <d v="1899-12-30T12:00:00"/>
    <n v="44450"/>
    <s v="Return order"/>
    <n v="34666.5697"/>
    <x v="0"/>
    <n v="0"/>
    <n v="0"/>
    <x v="0"/>
    <x v="0"/>
  </r>
  <r>
    <x v="0"/>
    <x v="7"/>
    <n v="44426"/>
    <x v="5"/>
    <x v="0"/>
    <x v="23"/>
    <x v="2"/>
    <x v="84"/>
    <s v="Xúc xích heo vị Mexico (mini) hiệu REAL Gói 200g"/>
    <s v="Gói"/>
    <n v="13"/>
    <n v="2.6"/>
    <d v="1899-12-30T04:48:00"/>
    <n v="44454"/>
    <s v="Return order"/>
    <n v="262615.15149999998"/>
    <x v="0"/>
    <n v="13"/>
    <n v="262615.15149999998"/>
    <x v="0"/>
    <x v="0"/>
  </r>
  <r>
    <x v="0"/>
    <x v="7"/>
    <n v="44426"/>
    <x v="0"/>
    <x v="0"/>
    <x v="3"/>
    <x v="2"/>
    <x v="125"/>
    <s v="Há Cảo CTE Mini - Gói 500g"/>
    <s v="Gói"/>
    <n v="3"/>
    <n v="1.5"/>
    <d v="1899-12-30T12:00:00"/>
    <n v="44646"/>
    <s v="Return order"/>
    <n v="84889.035299999989"/>
    <x v="0"/>
    <n v="0"/>
    <n v="0"/>
    <x v="0"/>
    <x v="0"/>
  </r>
  <r>
    <x v="0"/>
    <x v="7"/>
    <n v="44432"/>
    <x v="3"/>
    <x v="0"/>
    <x v="12"/>
    <x v="0"/>
    <x v="53"/>
    <s v="Kim chi cải thảo cắt lát Ông Kim's 5Kg-GGG"/>
    <s v="Túi"/>
    <n v="33"/>
    <n v="165"/>
    <d v="1900-01-04T00:00:00"/>
    <n v="44444"/>
    <s v="Under Derective 16 of HCMC, GGG closed and canceled orders"/>
    <n v="3076816.6605000002"/>
    <x v="0"/>
    <n v="13"/>
    <n v="1212079.2904999999"/>
    <x v="0"/>
    <x v="0"/>
  </r>
  <r>
    <x v="0"/>
    <x v="7"/>
    <n v="44432"/>
    <x v="3"/>
    <x v="0"/>
    <x v="12"/>
    <x v="0"/>
    <x v="53"/>
    <s v="Kim chi cải thảo cắt lát Ông Kim's 5Kg-GGG"/>
    <s v="Túi"/>
    <n v="46"/>
    <n v="230"/>
    <d v="1900-01-04T00:00:00"/>
    <n v="44445"/>
    <s v="Under Derective 16 of HCMC, GGG closed and canceled orders"/>
    <n v="4288895.9509999994"/>
    <x v="0"/>
    <n v="46"/>
    <n v="4288895.9509999994"/>
    <x v="0"/>
    <x v="0"/>
  </r>
  <r>
    <x v="0"/>
    <x v="7"/>
    <n v="44432"/>
    <x v="3"/>
    <x v="0"/>
    <x v="12"/>
    <x v="0"/>
    <x v="54"/>
    <s v="Kim chi cải thảo cắt lát Bibigo Ông Kim's 1,2kg"/>
    <s v="Hũ"/>
    <n v="40"/>
    <n v="48"/>
    <d v="1899-12-31T04:48:00"/>
    <n v="44454"/>
    <s v="Low sales"/>
    <n v="1971917.976"/>
    <x v="0"/>
    <n v="40"/>
    <n v="1971917.976"/>
    <x v="0"/>
    <x v="0"/>
  </r>
  <r>
    <x v="0"/>
    <x v="7"/>
    <n v="44432"/>
    <x v="3"/>
    <x v="0"/>
    <x v="21"/>
    <x v="2"/>
    <x v="87"/>
    <s v="Đậu hũ non Bibigo Ông Kim's 220gr"/>
    <s v="Cây"/>
    <n v="10"/>
    <n v="2.2000000000000002"/>
    <d v="1899-12-30T05:16:48"/>
    <n v="44439"/>
    <s v="Return order"/>
    <n v="43000"/>
    <x v="0"/>
    <n v="10"/>
    <n v="43000"/>
    <x v="0"/>
    <x v="0"/>
  </r>
  <r>
    <x v="0"/>
    <x v="7"/>
    <n v="44432"/>
    <x v="5"/>
    <x v="0"/>
    <x v="11"/>
    <x v="2"/>
    <x v="113"/>
    <s v="Chả cá dây 500g"/>
    <s v="Kg"/>
    <n v="212"/>
    <n v="212"/>
    <d v="1899-12-31T00:00:00"/>
    <n v="44453"/>
    <s v="Low sales"/>
    <n v="7374617.0964000002"/>
    <x v="0"/>
    <n v="0"/>
    <n v="0"/>
    <x v="0"/>
    <x v="0"/>
  </r>
  <r>
    <x v="0"/>
    <x v="7"/>
    <n v="44432"/>
    <x v="1"/>
    <x v="0"/>
    <x v="31"/>
    <x v="2"/>
    <x v="126"/>
    <s v="Cầu Tre Pure bánh tráng chả giò 280g"/>
    <s v="Gói"/>
    <n v="5"/>
    <n v="1.4"/>
    <d v="1899-12-30T06:43:12"/>
    <n v="44619"/>
    <s v="Low sales"/>
    <n v="51085.469999999994"/>
    <x v="0"/>
    <n v="5"/>
    <n v="51085.469999999994"/>
    <x v="0"/>
    <x v="0"/>
  </r>
  <r>
    <x v="0"/>
    <x v="7"/>
    <n v="44432"/>
    <x v="4"/>
    <x v="0"/>
    <x v="9"/>
    <x v="2"/>
    <x v="127"/>
    <s v="(DASIDA) Hạt nêm vị bò 2.25KG"/>
    <s v="Gói"/>
    <n v="4"/>
    <n v="9"/>
    <d v="1900-01-01T06:00:00"/>
    <n v="44670"/>
    <s v="Low sales"/>
    <n v="818243.88840000005"/>
    <x v="0"/>
    <n v="4"/>
    <n v="818243.88840000005"/>
    <x v="0"/>
    <x v="0"/>
  </r>
  <r>
    <x v="0"/>
    <x v="7"/>
    <n v="44432"/>
    <x v="5"/>
    <x v="0"/>
    <x v="24"/>
    <x v="2"/>
    <x v="74"/>
    <s v="Chả Bò Quết Thượng Hạng 500g (mát)"/>
    <s v="Gói"/>
    <n v="20"/>
    <n v="10"/>
    <d v="1899-12-30T12:00:00"/>
    <n v="44451"/>
    <s v="Return order"/>
    <n v="1360048.7100000002"/>
    <x v="0"/>
    <n v="20"/>
    <n v="1360048.7100000002"/>
    <x v="0"/>
    <x v="0"/>
  </r>
  <r>
    <x v="0"/>
    <x v="7"/>
    <n v="44432"/>
    <x v="5"/>
    <x v="0"/>
    <x v="24"/>
    <x v="2"/>
    <x v="128"/>
    <s v="Chả Lụa Quết Thượng Hạng 500g (mát) - CT tặng kèm Chả cá"/>
    <s v="Gói"/>
    <n v="12"/>
    <n v="6"/>
    <d v="1899-12-30T12:00:00"/>
    <n v="44481"/>
    <s v="Return order"/>
    <n v="898800"/>
    <x v="0"/>
    <n v="12"/>
    <n v="898800"/>
    <x v="0"/>
    <x v="0"/>
  </r>
  <r>
    <x v="0"/>
    <x v="7"/>
    <n v="44439"/>
    <x v="3"/>
    <x v="0"/>
    <x v="12"/>
    <x v="2"/>
    <x v="31"/>
    <s v="Bibigo Kimchi cải thảo - ngò 100gr"/>
    <s v="Túi"/>
    <n v="15"/>
    <n v="1.5"/>
    <d v="1899-12-30T02:24:00"/>
    <n v="44468"/>
    <s v="Return order"/>
    <n v="74950.690499999997"/>
    <x v="0"/>
    <n v="0"/>
    <n v="0"/>
    <x v="0"/>
    <x v="0"/>
  </r>
  <r>
    <x v="0"/>
    <x v="7"/>
    <n v="44439"/>
    <x v="1"/>
    <x v="0"/>
    <x v="31"/>
    <x v="2"/>
    <x v="126"/>
    <s v="Cầu Tre Pure bánh tráng chả giò 280g"/>
    <s v="Gói"/>
    <n v="20"/>
    <n v="5.6000000000000005"/>
    <d v="1899-12-30T06:43:12"/>
    <n v="44621"/>
    <s v="Low sales"/>
    <n v="204341.88"/>
    <x v="0"/>
    <n v="0"/>
    <n v="0"/>
    <x v="0"/>
    <x v="0"/>
  </r>
  <r>
    <x v="0"/>
    <x v="7"/>
    <n v="44439"/>
    <x v="0"/>
    <x v="0"/>
    <x v="18"/>
    <x v="2"/>
    <x v="129"/>
    <s v="Bánh Mandu Hải Sản CJ Bibigo – Gói 175g"/>
    <s v="Gói"/>
    <n v="31"/>
    <n v="5.4249999999999998"/>
    <d v="1899-12-30T04:12:00"/>
    <n v="44638"/>
    <s v="Return order"/>
    <n v="347437.29569999996"/>
    <x v="0"/>
    <n v="0"/>
    <n v="0"/>
    <x v="0"/>
    <x v="0"/>
  </r>
  <r>
    <x v="0"/>
    <x v="7"/>
    <n v="44439"/>
    <x v="1"/>
    <x v="0"/>
    <x v="26"/>
    <x v="2"/>
    <x v="130"/>
    <s v="Cầu Tre Im Cháo Gourmet / Cháo Tươi Gà Bát Bửu - túi 250g"/>
    <s v="Túi"/>
    <n v="2"/>
    <n v="0.5"/>
    <d v="1899-12-30T06:00:00"/>
    <n v="44688"/>
    <s v="Low sales"/>
    <n v="19395.999199999998"/>
    <x v="0"/>
    <n v="2"/>
    <n v="19395.999199999998"/>
    <x v="0"/>
    <x v="0"/>
  </r>
  <r>
    <x v="0"/>
    <x v="8"/>
    <n v="44450"/>
    <x v="5"/>
    <x v="0"/>
    <x v="23"/>
    <x v="1"/>
    <x v="119"/>
    <s v="Xúc xích 3 khỏe 32gr"/>
    <s v="Kg"/>
    <n v="232"/>
    <n v="232"/>
    <d v="1899-12-31T00:00:00"/>
    <n v="44450"/>
    <s v="Covid impact, stop production"/>
    <n v="17478940.396694217"/>
    <x v="0"/>
    <n v="0"/>
    <n v="0"/>
    <x v="0"/>
    <x v="0"/>
  </r>
  <r>
    <x v="0"/>
    <x v="8"/>
    <n v="44453"/>
    <x v="1"/>
    <x v="0"/>
    <x v="26"/>
    <x v="0"/>
    <x v="130"/>
    <s v="Cầu Tre I'm Cháo Gourmet/Cháo tươi Tươi gà Bát Bửu- túi 250g- 20G/thùng"/>
    <s v="Gói"/>
    <n v="8"/>
    <n v="2"/>
    <d v="1899-12-30T06:00:00"/>
    <n v="44688"/>
    <s v="Low sales"/>
    <n v="85292.796799999996"/>
    <x v="0"/>
    <n v="8"/>
    <n v="85292.796799999996"/>
    <x v="0"/>
    <x v="0"/>
  </r>
  <r>
    <x v="0"/>
    <x v="8"/>
    <n v="44453"/>
    <x v="4"/>
    <x v="0"/>
    <x v="32"/>
    <x v="2"/>
    <x v="131"/>
    <s v="Tương ớt chua ngọt (170G*32EA)/CT"/>
    <s v="Hộp"/>
    <n v="14"/>
    <n v="2.3800000000000003"/>
    <d v="1899-12-30T04:04:48"/>
    <n v="44621"/>
    <s v="Low sales"/>
    <n v="101588.0572"/>
    <x v="0"/>
    <n v="0"/>
    <n v="0"/>
    <x v="0"/>
    <x v="0"/>
  </r>
  <r>
    <x v="0"/>
    <x v="8"/>
    <n v="44453"/>
    <x v="0"/>
    <x v="0"/>
    <x v="18"/>
    <x v="2"/>
    <x v="111"/>
    <s v="Bánh Mandu Thịt và Bắp CJ Bibigo – Gói 350g"/>
    <s v="Gói"/>
    <n v="15"/>
    <n v="5.25"/>
    <d v="1899-12-30T08:24:00"/>
    <n v="44701"/>
    <s v="Low sales"/>
    <n v="334353.14850000001"/>
    <x v="0"/>
    <n v="0"/>
    <n v="0"/>
    <x v="0"/>
    <x v="0"/>
  </r>
  <r>
    <x v="0"/>
    <x v="8"/>
    <n v="44453"/>
    <x v="6"/>
    <x v="0"/>
    <x v="8"/>
    <x v="2"/>
    <x v="28"/>
    <s v="Snack Rong biển Bibigo vị Bắp Mật Ong 25gr"/>
    <s v="Gói"/>
    <n v="5"/>
    <n v="0.125"/>
    <d v="1899-12-30T00:36:00"/>
    <n v="44543"/>
    <s v="Low sales"/>
    <n v="43799.576000000001"/>
    <x v="0"/>
    <n v="0"/>
    <n v="0"/>
    <x v="0"/>
    <x v="0"/>
  </r>
  <r>
    <x v="0"/>
    <x v="8"/>
    <n v="44462"/>
    <x v="4"/>
    <x v="0"/>
    <x v="25"/>
    <x v="0"/>
    <x v="109"/>
    <s v="고추장 불고기양념 (80G*40EA)CJ BIBIGO xốt ướp thị bulgogi - Vị ớt cay (80G*40EA)"/>
    <s v="EA"/>
    <n v="30"/>
    <n v="2.4"/>
    <d v="1899-12-30T01:55:12"/>
    <n v="44578"/>
    <s v="Low sales"/>
    <n v="58993.643999999993"/>
    <x v="0"/>
    <n v="0"/>
    <n v="0"/>
    <x v="0"/>
    <x v="0"/>
  </r>
  <r>
    <x v="0"/>
    <x v="8"/>
    <n v="44462"/>
    <x v="7"/>
    <x v="0"/>
    <x v="33"/>
    <x v="0"/>
    <x v="132"/>
    <s v="Canh Hàn Quốc - Canh tương đậu hũ 4.3g x 10 gói"/>
    <s v="Hộp"/>
    <n v="62"/>
    <n v="2.6659999999999999"/>
    <d v="1899-12-30T01:01:55"/>
    <n v="44686"/>
    <s v="Low sales"/>
    <n v="1527680"/>
    <x v="0"/>
    <n v="14"/>
    <n v="344960"/>
    <x v="0"/>
    <x v="0"/>
  </r>
  <r>
    <x v="0"/>
    <x v="8"/>
    <n v="44462"/>
    <x v="1"/>
    <x v="0"/>
    <x v="31"/>
    <x v="2"/>
    <x v="126"/>
    <s v="Cầu Tre Pure bánh tráng chả giò 280g"/>
    <s v="Gói"/>
    <n v="20"/>
    <n v="5.6000000000000005"/>
    <d v="1899-12-30T06:43:12"/>
    <n v="44614"/>
    <s v="Low sales"/>
    <n v="208341.88"/>
    <x v="0"/>
    <n v="0"/>
    <n v="0"/>
    <x v="0"/>
    <x v="0"/>
  </r>
  <r>
    <x v="0"/>
    <x v="8"/>
    <n v="44462"/>
    <x v="4"/>
    <x v="0"/>
    <x v="25"/>
    <x v="2"/>
    <x v="133"/>
    <s v="CJ Bibigo Xốt ướp thịt Bulgogi - Vị mặn ngọt 80 gr"/>
    <s v="Gói"/>
    <n v="418"/>
    <n v="33.44"/>
    <d v="1899-12-30T01:55:12"/>
    <n v="44546"/>
    <s v="Low sales"/>
    <n v="798496.37120000005"/>
    <x v="0"/>
    <n v="0"/>
    <n v="0"/>
    <x v="0"/>
    <x v="0"/>
  </r>
  <r>
    <x v="0"/>
    <x v="8"/>
    <n v="44462"/>
    <x v="0"/>
    <x v="0"/>
    <x v="18"/>
    <x v="2"/>
    <x v="134"/>
    <s v="Bánh Mandu Thịt và Bắp CJ Bibigo – Gói 350g (GT)"/>
    <s v="Gói"/>
    <n v="24"/>
    <n v="8.3999999999999986"/>
    <d v="1899-12-30T08:24:00"/>
    <n v="44631"/>
    <s v="Return order"/>
    <n v="470400"/>
    <x v="0"/>
    <n v="24"/>
    <n v="470400"/>
    <x v="0"/>
    <x v="0"/>
  </r>
  <r>
    <x v="0"/>
    <x v="8"/>
    <n v="44462"/>
    <x v="0"/>
    <x v="0"/>
    <x v="0"/>
    <x v="2"/>
    <x v="135"/>
    <s v="Chả Giò Đặc Biệt Thịt - Gói 500G"/>
    <s v="Gói"/>
    <n v="3"/>
    <n v="1.5"/>
    <d v="1899-12-30T12:00:00"/>
    <n v="44702"/>
    <s v="Return order"/>
    <n v="75671.572800000009"/>
    <x v="0"/>
    <n v="0"/>
    <n v="0"/>
    <x v="0"/>
    <x v="0"/>
  </r>
  <r>
    <x v="0"/>
    <x v="8"/>
    <n v="44462"/>
    <x v="0"/>
    <x v="0"/>
    <x v="0"/>
    <x v="2"/>
    <x v="136"/>
    <s v="Chả giò rế chay đặc biệt - Gói 500g"/>
    <s v="Gói"/>
    <n v="11"/>
    <n v="5.5"/>
    <d v="1899-12-30T12:00:00"/>
    <n v="44686"/>
    <s v="Return order"/>
    <n v="225096.22300000003"/>
    <x v="0"/>
    <n v="0"/>
    <n v="0"/>
    <x v="0"/>
    <x v="0"/>
  </r>
  <r>
    <x v="0"/>
    <x v="8"/>
    <n v="44467"/>
    <x v="0"/>
    <x v="0"/>
    <x v="0"/>
    <x v="0"/>
    <x v="137"/>
    <s v="Phô mai Da xốp Cầu Tre- Phô Mai Bở Tỏi - Gói 300g"/>
    <s v="Gói"/>
    <n v="7"/>
    <n v="2.1"/>
    <d v="1899-12-30T07:12:00"/>
    <n v="44671"/>
    <s v="Low sales"/>
    <n v="220538.76389999999"/>
    <x v="0"/>
    <n v="0"/>
    <n v="0"/>
    <x v="0"/>
    <x v="0"/>
  </r>
  <r>
    <x v="0"/>
    <x v="8"/>
    <n v="44467"/>
    <x v="6"/>
    <x v="0"/>
    <x v="8"/>
    <x v="0"/>
    <x v="28"/>
    <s v="Snack Rong biển Bibigo vị Bắp mật Ong 25gr"/>
    <s v="Gói"/>
    <n v="116"/>
    <n v="2.9000000000000004"/>
    <d v="1899-12-30T00:36:00"/>
    <n v="44574"/>
    <s v="Low sales"/>
    <n v="974390.16319999995"/>
    <x v="0"/>
    <n v="0"/>
    <n v="0"/>
    <x v="0"/>
    <x v="0"/>
  </r>
  <r>
    <x v="0"/>
    <x v="8"/>
    <n v="44467"/>
    <x v="2"/>
    <x v="0"/>
    <x v="34"/>
    <x v="2"/>
    <x v="7"/>
    <s v="Nước Uống Collagen Innerb Glowshot ((50ML*6EA)*10EA/CT)"/>
    <s v="Hộp"/>
    <n v="9"/>
    <n v="2.6999999999999997"/>
    <d v="1899-12-30T07:12:00"/>
    <n v="44572"/>
    <s v="Bao bì móp - không bán được"/>
    <n v="426341.43000000005"/>
    <x v="0"/>
    <n v="0"/>
    <n v="0"/>
    <x v="0"/>
    <x v="0"/>
  </r>
  <r>
    <x v="0"/>
    <x v="8"/>
    <n v="44467"/>
    <x v="2"/>
    <x v="0"/>
    <x v="34"/>
    <x v="2"/>
    <x v="7"/>
    <s v="Nước Uống Collagen Innerb Glowshot ((50ML*6EA)*10EA/CT)"/>
    <s v="Hộp"/>
    <n v="3"/>
    <n v="0.8999999999999998"/>
    <d v="1899-12-30T07:12:00"/>
    <n v="44615"/>
    <s v="Bao bì móp - không bán được"/>
    <n v="142113.81"/>
    <x v="0"/>
    <n v="0"/>
    <n v="0"/>
    <x v="0"/>
    <x v="0"/>
  </r>
  <r>
    <x v="0"/>
    <x v="8"/>
    <n v="44467"/>
    <x v="2"/>
    <x v="0"/>
    <x v="34"/>
    <x v="2"/>
    <x v="7"/>
    <s v="Nước Uống Collagen Innerb Glowshot ((50ML*6EA)*10EA/CT)"/>
    <s v="Hộp"/>
    <n v="5"/>
    <n v="1.5"/>
    <d v="1899-12-30T07:12:00"/>
    <n v="44644"/>
    <s v="Bao bì móp - không bán được"/>
    <n v="236856.35000000003"/>
    <x v="0"/>
    <n v="0"/>
    <n v="0"/>
    <x v="0"/>
    <x v="0"/>
  </r>
  <r>
    <x v="0"/>
    <x v="8"/>
    <n v="44467"/>
    <x v="2"/>
    <x v="0"/>
    <x v="34"/>
    <x v="2"/>
    <x v="7"/>
    <s v="Nước Uống Collagen Innerb Glowshot ((50ML*6EA)*10EA/CT)"/>
    <s v="Hộp"/>
    <n v="7"/>
    <n v="2.1"/>
    <d v="1899-12-30T07:12:00"/>
    <n v="44680"/>
    <s v="Bao bì móp - không bán được"/>
    <n v="331598.89"/>
    <x v="0"/>
    <n v="0"/>
    <n v="0"/>
    <x v="0"/>
    <x v="0"/>
  </r>
  <r>
    <x v="0"/>
    <x v="8"/>
    <n v="44467"/>
    <x v="2"/>
    <x v="0"/>
    <x v="34"/>
    <x v="2"/>
    <x v="7"/>
    <s v="Nước Uống Collagen Innerb Glowshot ((50ML*6EA)*10EA/CT)"/>
    <s v="Hộp"/>
    <n v="1"/>
    <n v="0.3"/>
    <d v="1899-12-30T07:12:00"/>
    <n v="44704"/>
    <s v="Bao bì móp - không bán được"/>
    <n v="47371.27"/>
    <x v="0"/>
    <n v="0"/>
    <n v="0"/>
    <x v="0"/>
    <x v="0"/>
  </r>
  <r>
    <x v="0"/>
    <x v="8"/>
    <n v="44467"/>
    <x v="2"/>
    <x v="0"/>
    <x v="34"/>
    <x v="2"/>
    <x v="7"/>
    <s v="Nước Uống Collagen Innerb Glowshot ((50ML*6EA)*10EA/CT)"/>
    <s v="Hộp"/>
    <n v="3"/>
    <n v="0.8999999999999998"/>
    <d v="1899-12-30T07:12:00"/>
    <n v="44705"/>
    <s v="Bao bì móp - không bán được"/>
    <n v="142113.81"/>
    <x v="0"/>
    <n v="0"/>
    <n v="0"/>
    <x v="0"/>
    <x v="0"/>
  </r>
  <r>
    <x v="0"/>
    <x v="8"/>
    <n v="44467"/>
    <x v="2"/>
    <x v="0"/>
    <x v="34"/>
    <x v="2"/>
    <x v="7"/>
    <s v="Nước Uống Collagen Innerb Glowshot ((50ML*6EA)*10EA/CT)"/>
    <s v="Hộp"/>
    <n v="1"/>
    <n v="0.3"/>
    <d v="1899-12-30T07:12:00"/>
    <n v="44733"/>
    <s v="Bao bì móp - không bán được"/>
    <n v="47371.27"/>
    <x v="0"/>
    <n v="0"/>
    <n v="0"/>
    <x v="0"/>
    <x v="0"/>
  </r>
  <r>
    <x v="0"/>
    <x v="8"/>
    <n v="44467"/>
    <x v="2"/>
    <x v="0"/>
    <x v="34"/>
    <x v="2"/>
    <x v="138"/>
    <s v="Thực Phẩm Bảo Vệ Sức Khỏe INNERB AQUA BANK (16.8G*20EA/CT)"/>
    <s v="Hộp"/>
    <n v="18"/>
    <n v="0.3024"/>
    <d v="1899-12-30T00:24:12"/>
    <n v="44539"/>
    <s v="Hàng cận date - không bán được"/>
    <n v="1788391.6289999995"/>
    <x v="0"/>
    <n v="18"/>
    <n v="1788391.6289999995"/>
    <x v="0"/>
    <x v="0"/>
  </r>
  <r>
    <x v="0"/>
    <x v="8"/>
    <n v="44467"/>
    <x v="2"/>
    <x v="0"/>
    <x v="34"/>
    <x v="2"/>
    <x v="138"/>
    <s v="Thực Phẩm Bảo Vệ Sức Khỏe INNERB AQUA BANK (16.8G*20EA/CT)"/>
    <s v="Hộp"/>
    <n v="26"/>
    <n v="0.43680000000000002"/>
    <d v="1899-12-30T00:24:12"/>
    <n v="44540"/>
    <s v="Hàng cận date - không bán được"/>
    <n v="2583232.3529999997"/>
    <x v="0"/>
    <n v="26"/>
    <n v="2583232.3529999997"/>
    <x v="0"/>
    <x v="0"/>
  </r>
  <r>
    <x v="0"/>
    <x v="8"/>
    <n v="44467"/>
    <x v="2"/>
    <x v="0"/>
    <x v="34"/>
    <x v="2"/>
    <x v="138"/>
    <s v="Thực Phẩm Bảo Vệ Sức Khỏe INNERB AQUA BANK (16.8G*20EA/CT)"/>
    <s v="Hộp"/>
    <n v="5"/>
    <n v="8.3999999999999977E-2"/>
    <d v="1899-12-30T00:24:12"/>
    <n v="45087"/>
    <s v="Bao bì móp - không bán được"/>
    <n v="496775.45250000001"/>
    <x v="0"/>
    <n v="5"/>
    <n v="496775.45250000001"/>
    <x v="0"/>
    <x v="0"/>
  </r>
  <r>
    <x v="0"/>
    <x v="8"/>
    <n v="44467"/>
    <x v="2"/>
    <x v="0"/>
    <x v="34"/>
    <x v="2"/>
    <x v="139"/>
    <s v="Thực Phẩm Bảo Vệ Sức Khỏe INNERB AQUA RICH DOUBLEUP (33.6G*20EA/CT)"/>
    <s v="Hộp"/>
    <n v="2"/>
    <n v="6.7199999999999996E-2"/>
    <d v="1899-12-30T00:48:23"/>
    <n v="44888"/>
    <s v="Bao bì móp - không bán được"/>
    <n v="218151.73220000003"/>
    <x v="0"/>
    <n v="2"/>
    <n v="218151.73220000003"/>
    <x v="0"/>
    <x v="0"/>
  </r>
  <r>
    <x v="0"/>
    <x v="8"/>
    <n v="44467"/>
    <x v="2"/>
    <x v="0"/>
    <x v="34"/>
    <x v="2"/>
    <x v="139"/>
    <s v="Thực Phẩm Bảo Vệ Sức Khỏe INNERB AQUA RICH DOUBLEUP (33.6G*20EA/CT)"/>
    <s v="Hộp"/>
    <n v="1"/>
    <n v="3.3599999999999998E-2"/>
    <d v="1899-12-30T00:48:23"/>
    <n v="44888"/>
    <s v="Bao bì móp - không bán được"/>
    <n v="109075.8661"/>
    <x v="0"/>
    <n v="1"/>
    <n v="109075.8661"/>
    <x v="0"/>
    <x v="0"/>
  </r>
  <r>
    <x v="0"/>
    <x v="8"/>
    <n v="44467"/>
    <x v="2"/>
    <x v="0"/>
    <x v="34"/>
    <x v="2"/>
    <x v="139"/>
    <s v="Thực Phẩm Bảo Vệ Sức Khỏe INNERB AQUA RICH DOUBLEUP (33.6G*20EA/CT)"/>
    <s v="Hộp"/>
    <n v="6"/>
    <n v="0.2016"/>
    <d v="1899-12-30T00:48:23"/>
    <n v="44980"/>
    <s v="Bao bì móp - không bán được"/>
    <n v="654455.19660000014"/>
    <x v="0"/>
    <n v="6"/>
    <n v="654455.19660000014"/>
    <x v="0"/>
    <x v="0"/>
  </r>
  <r>
    <x v="0"/>
    <x v="8"/>
    <n v="44467"/>
    <x v="2"/>
    <x v="0"/>
    <x v="34"/>
    <x v="2"/>
    <x v="139"/>
    <s v="Thực Phẩm Bảo Vệ Sức Khỏe INNERB AQUA RICH DOUBLEUP (33.6G*20EA/CT)"/>
    <s v="Hộp"/>
    <n v="1"/>
    <n v="3.3599999999999998E-2"/>
    <d v="1899-12-30T00:48:23"/>
    <n v="44995"/>
    <s v="Bao bì móp - không bán được"/>
    <n v="109075.8661"/>
    <x v="0"/>
    <n v="1"/>
    <n v="109075.8661"/>
    <x v="0"/>
    <x v="0"/>
  </r>
  <r>
    <x v="0"/>
    <x v="8"/>
    <n v="44467"/>
    <x v="2"/>
    <x v="0"/>
    <x v="34"/>
    <x v="2"/>
    <x v="139"/>
    <s v="Thực Phẩm Bảo Vệ Sức Khỏe INNERB AQUA RICH DOUBLEUP (33.6G*20EA/CT)"/>
    <s v="Hộp"/>
    <n v="1"/>
    <n v="3.3599999999999998E-2"/>
    <d v="1899-12-30T00:48:23"/>
    <n v="45077"/>
    <s v="Bao bì móp - không bán được"/>
    <n v="109075.8661"/>
    <x v="0"/>
    <n v="1"/>
    <n v="109075.8661"/>
    <x v="0"/>
    <x v="0"/>
  </r>
  <r>
    <x v="0"/>
    <x v="8"/>
    <n v="44467"/>
    <x v="2"/>
    <x v="0"/>
    <x v="34"/>
    <x v="2"/>
    <x v="139"/>
    <s v="Thực Phẩm Bảo Vệ Sức Khỏe INNERB AQUA RICH DOUBLEUP (33.6G*20EA/CT)"/>
    <s v="Hộp"/>
    <n v="1"/>
    <n v="3.3599999999999998E-2"/>
    <d v="1899-12-30T00:48:23"/>
    <n v="45078"/>
    <s v="Bao bì móp - không bán được"/>
    <n v="109075.8661"/>
    <x v="0"/>
    <n v="1"/>
    <n v="109075.8661"/>
    <x v="0"/>
    <x v="0"/>
  </r>
  <r>
    <x v="0"/>
    <x v="8"/>
    <n v="44467"/>
    <x v="2"/>
    <x v="0"/>
    <x v="34"/>
    <x v="2"/>
    <x v="140"/>
    <s v="Thực Phẩm Bảo Vệ Sức Khỏe INNERB AQUA RICH DOUBLEUP (42G*20EA/CT)"/>
    <s v="Hộp"/>
    <n v="4"/>
    <n v="0.16800000000000001"/>
    <d v="1899-12-30T01:00:29"/>
    <n v="44981"/>
    <s v="Bao bì móp - không bán được"/>
    <n v="677762.49360000005"/>
    <x v="0"/>
    <n v="4"/>
    <n v="677762.49360000005"/>
    <x v="0"/>
    <x v="0"/>
  </r>
  <r>
    <x v="0"/>
    <x v="8"/>
    <n v="44467"/>
    <x v="2"/>
    <x v="0"/>
    <x v="34"/>
    <x v="2"/>
    <x v="140"/>
    <s v="Thực Phẩm Bảo Vệ Sức Khỏe INNERB AQUA RICH DOUBLEUP (42G*20EA/CT)"/>
    <s v="Hộp"/>
    <n v="6"/>
    <n v="0.252"/>
    <d v="1899-12-30T01:00:29"/>
    <n v="45097"/>
    <s v="Bao bì móp - không bán được"/>
    <n v="1016643.7404"/>
    <x v="0"/>
    <n v="6"/>
    <n v="1016643.7404"/>
    <x v="0"/>
    <x v="0"/>
  </r>
  <r>
    <x v="0"/>
    <x v="8"/>
    <n v="44467"/>
    <x v="2"/>
    <x v="0"/>
    <x v="34"/>
    <x v="2"/>
    <x v="141"/>
    <s v="Thực Phẩm Bảo Vệ Sức Khỏe INNERB SNOW WHITE(28G*20EA/CT)"/>
    <s v="Hộp"/>
    <n v="3"/>
    <n v="8.4000000000000005E-2"/>
    <d v="1899-12-30T00:40:19"/>
    <n v="45060"/>
    <s v="Bao bì móp - không bán được"/>
    <n v="496422.40559999994"/>
    <x v="0"/>
    <n v="3"/>
    <n v="496422.40559999994"/>
    <x v="0"/>
    <x v="0"/>
  </r>
  <r>
    <x v="0"/>
    <x v="8"/>
    <n v="44467"/>
    <x v="2"/>
    <x v="0"/>
    <x v="34"/>
    <x v="2"/>
    <x v="141"/>
    <s v="Thực Phẩm Bảo Vệ Sức Khỏe INNERB SNOW WHITE(28G*20EA/CT)"/>
    <s v="Hộp"/>
    <n v="1"/>
    <n v="2.8000000000000001E-2"/>
    <d v="1899-12-30T00:40:19"/>
    <n v="45060"/>
    <s v="Bao bì móp - không bán được"/>
    <n v="165474.13519999999"/>
    <x v="0"/>
    <n v="1"/>
    <n v="165474.13519999999"/>
    <x v="0"/>
    <x v="0"/>
  </r>
  <r>
    <x v="0"/>
    <x v="8"/>
    <n v="44467"/>
    <x v="2"/>
    <x v="0"/>
    <x v="34"/>
    <x v="2"/>
    <x v="142"/>
    <s v="Thực Phẩm Bảo Vệ Sức Khỏe INNERB SNOW WHITE(35G*20EA/CT)"/>
    <s v="Hộp"/>
    <n v="1"/>
    <n v="3.5000000000000003E-2"/>
    <d v="1899-12-30T00:50:24"/>
    <n v="45063"/>
    <s v="Bao bì móp - không bán được"/>
    <n v="211948.38380000001"/>
    <x v="0"/>
    <n v="1"/>
    <n v="211948.38380000001"/>
    <x v="0"/>
    <x v="0"/>
  </r>
  <r>
    <x v="0"/>
    <x v="8"/>
    <n v="44467"/>
    <x v="4"/>
    <x v="0"/>
    <x v="25"/>
    <x v="2"/>
    <x v="143"/>
    <s v="Xốt ướp Bulgogi bò 10KG"/>
    <s v="Thùng"/>
    <n v="1"/>
    <n v="10"/>
    <d v="1900-01-09T00:00:00"/>
    <n v="44625"/>
    <s v="Bao bì móp - không bán được"/>
    <n v="253532.46979999999"/>
    <x v="0"/>
    <n v="1"/>
    <n v="253532.46979999999"/>
    <x v="0"/>
    <x v="0"/>
  </r>
  <r>
    <x v="0"/>
    <x v="8"/>
    <n v="44467"/>
    <x v="0"/>
    <x v="0"/>
    <x v="18"/>
    <x v="2"/>
    <x v="144"/>
    <s v="Bánh Mandu Hải Sản CJ Bibigo - Gói 1.505Kg - Thùng 9,03Kg"/>
    <s v="Gói"/>
    <n v="16"/>
    <n v="24.08"/>
    <d v="1899-12-31T12:07:12"/>
    <n v="44638"/>
    <s v="Low sales"/>
    <n v="1446400"/>
    <x v="0"/>
    <n v="16"/>
    <n v="1446400"/>
    <x v="0"/>
    <x v="0"/>
  </r>
  <r>
    <x v="0"/>
    <x v="8"/>
    <n v="44467"/>
    <x v="0"/>
    <x v="0"/>
    <x v="18"/>
    <x v="2"/>
    <x v="111"/>
    <s v="Bánh Mandu Thịt và Bắp CJ Bibigo – Gói 350g"/>
    <s v="Gói"/>
    <n v="50"/>
    <n v="17.5"/>
    <d v="1899-12-30T08:24:00"/>
    <n v="44631"/>
    <s v="Return order"/>
    <n v="1070010.4950000001"/>
    <x v="0"/>
    <n v="50"/>
    <n v="1070010.4950000001"/>
    <x v="0"/>
    <x v="0"/>
  </r>
  <r>
    <x v="0"/>
    <x v="8"/>
    <n v="44467"/>
    <x v="0"/>
    <x v="0"/>
    <x v="18"/>
    <x v="2"/>
    <x v="145"/>
    <s v="Bánh Mandu Thịt CJ Bibigo – Gói 350g (GT)"/>
    <s v="Gói"/>
    <n v="11"/>
    <n v="3.85"/>
    <d v="1899-12-30T08:24:00"/>
    <n v="44630"/>
    <s v="Return order"/>
    <n v="215600"/>
    <x v="0"/>
    <n v="11"/>
    <n v="215600"/>
    <x v="0"/>
    <x v="0"/>
  </r>
  <r>
    <x v="0"/>
    <x v="8"/>
    <n v="44467"/>
    <x v="0"/>
    <x v="0"/>
    <x v="18"/>
    <x v="2"/>
    <x v="134"/>
    <s v="Bánh Mandu Thịt và Bắp CJ Bibigo – Gói 350g (GT)"/>
    <s v="Gói"/>
    <n v="172"/>
    <n v="60.2"/>
    <d v="1899-12-30T08:24:00"/>
    <n v="44632"/>
    <s v="Return order"/>
    <n v="3371200"/>
    <x v="0"/>
    <n v="172"/>
    <n v="3371200"/>
    <x v="0"/>
    <x v="0"/>
  </r>
  <r>
    <x v="0"/>
    <x v="8"/>
    <n v="44467"/>
    <x v="0"/>
    <x v="0"/>
    <x v="18"/>
    <x v="2"/>
    <x v="146"/>
    <s v="Bánh Mandu Hải Sản CJ Bibigo – Gói 350g (GT)"/>
    <s v="Gói"/>
    <n v="16"/>
    <n v="5.6"/>
    <d v="1899-12-30T08:24:00"/>
    <n v="44638"/>
    <s v="Return order"/>
    <n v="331200"/>
    <x v="0"/>
    <n v="16"/>
    <n v="331200"/>
    <x v="0"/>
    <x v="0"/>
  </r>
  <r>
    <x v="0"/>
    <x v="8"/>
    <n v="44467"/>
    <x v="0"/>
    <x v="0"/>
    <x v="0"/>
    <x v="2"/>
    <x v="137"/>
    <s v="Phô Mai Da Xốp Cầu Tre - Phô Mai Bơ Tỏi - Gói 300g"/>
    <s v="Gói"/>
    <n v="7"/>
    <n v="2.1"/>
    <d v="1899-12-30T07:12:00"/>
    <n v="44671"/>
    <s v="Low sales"/>
    <n v="220538.76389999999"/>
    <x v="0"/>
    <n v="0"/>
    <n v="0"/>
    <x v="0"/>
    <x v="0"/>
  </r>
  <r>
    <x v="0"/>
    <x v="8"/>
    <n v="44467"/>
    <x v="2"/>
    <x v="0"/>
    <x v="7"/>
    <x v="2"/>
    <x v="147"/>
    <s v="Trà Oolong cao cấp hộp bát giác đen - Hộp 200G"/>
    <s v="Hộp"/>
    <n v="13"/>
    <n v="2.6"/>
    <d v="1899-12-30T04:48:00"/>
    <n v="44566"/>
    <s v="Hàng cận date - không bán được"/>
    <n v="1045157.1234"/>
    <x v="0"/>
    <n v="13"/>
    <n v="1045157.1234"/>
    <x v="0"/>
    <x v="0"/>
  </r>
  <r>
    <x v="0"/>
    <x v="8"/>
    <n v="44467"/>
    <x v="2"/>
    <x v="0"/>
    <x v="7"/>
    <x v="2"/>
    <x v="10"/>
    <s v="Trà Oolong túi lọc thường (hộp 25 gói)"/>
    <s v="Hộp"/>
    <n v="3"/>
    <n v="0.15000000000000002"/>
    <d v="1899-12-30T01:12:00"/>
    <n v="44767"/>
    <s v="Hàng cận date - không bán được"/>
    <n v="39000"/>
    <x v="0"/>
    <n v="3"/>
    <n v="39000"/>
    <x v="0"/>
    <x v="0"/>
  </r>
  <r>
    <x v="0"/>
    <x v="8"/>
    <n v="44467"/>
    <x v="2"/>
    <x v="0"/>
    <x v="7"/>
    <x v="2"/>
    <x v="10"/>
    <s v="Trà Oolong túi lọc thường (hộp 25 gói)"/>
    <s v="Hộp"/>
    <n v="8"/>
    <n v="0.4"/>
    <d v="1899-12-30T01:12:00"/>
    <n v="44897"/>
    <s v="Hàng cận date - không bán được"/>
    <n v="104000"/>
    <x v="0"/>
    <n v="8"/>
    <n v="104000"/>
    <x v="0"/>
    <x v="0"/>
  </r>
  <r>
    <x v="0"/>
    <x v="8"/>
    <n v="44467"/>
    <x v="2"/>
    <x v="0"/>
    <x v="7"/>
    <x v="2"/>
    <x v="148"/>
    <s v="Trà Oolong - Hộp 200G"/>
    <s v="Hộp"/>
    <n v="10"/>
    <n v="2"/>
    <d v="1899-12-30T04:48:00"/>
    <n v="44472"/>
    <s v="Hàng cận date - không bán được"/>
    <n v="667263.93599999999"/>
    <x v="0"/>
    <n v="10"/>
    <n v="667263.93599999999"/>
    <x v="0"/>
    <x v="0"/>
  </r>
  <r>
    <x v="0"/>
    <x v="8"/>
    <n v="44467"/>
    <x v="2"/>
    <x v="0"/>
    <x v="7"/>
    <x v="2"/>
    <x v="148"/>
    <s v="Trà Oolong - Hộp 200G"/>
    <s v="Hộp"/>
    <n v="9"/>
    <n v="1.8"/>
    <d v="1899-12-30T04:48:00"/>
    <n v="44511"/>
    <s v="Hàng cận date - không bán được"/>
    <n v="600537.54239999992"/>
    <x v="0"/>
    <n v="0"/>
    <n v="0"/>
    <x v="0"/>
    <x v="0"/>
  </r>
  <r>
    <x v="0"/>
    <x v="8"/>
    <n v="44467"/>
    <x v="2"/>
    <x v="0"/>
    <x v="7"/>
    <x v="2"/>
    <x v="148"/>
    <s v="Trà Oolong - Hộp 200G"/>
    <s v="Hộp"/>
    <n v="5"/>
    <n v="1"/>
    <d v="1899-12-30T04:48:00"/>
    <n v="44513"/>
    <s v="Hàng cận date - không bán được"/>
    <n v="333631.96799999999"/>
    <x v="0"/>
    <n v="4"/>
    <n v="266905.57439999998"/>
    <x v="0"/>
    <x v="0"/>
  </r>
  <r>
    <x v="0"/>
    <x v="8"/>
    <n v="44467"/>
    <x v="2"/>
    <x v="0"/>
    <x v="7"/>
    <x v="2"/>
    <x v="149"/>
    <s v="Trà Oolong – Hộp 160G"/>
    <s v="Hộp"/>
    <n v="14"/>
    <n v="2.2400000000000002"/>
    <d v="1899-12-30T03:50:24"/>
    <n v="44524"/>
    <s v="Hàng cận date - không bán được"/>
    <n v="1501759.14"/>
    <x v="0"/>
    <n v="14"/>
    <n v="1501759.14"/>
    <x v="0"/>
    <x v="0"/>
  </r>
  <r>
    <x v="0"/>
    <x v="8"/>
    <n v="44467"/>
    <x v="2"/>
    <x v="0"/>
    <x v="7"/>
    <x v="2"/>
    <x v="149"/>
    <s v="Trà Oolong – Hộp 160G"/>
    <s v="Hộp"/>
    <n v="30"/>
    <n v="4.8"/>
    <d v="1899-12-30T03:50:24"/>
    <n v="44528"/>
    <s v="Hàng cận date - không bán được"/>
    <n v="3218055.3"/>
    <x v="0"/>
    <n v="30"/>
    <n v="3218055.3"/>
    <x v="0"/>
    <x v="0"/>
  </r>
  <r>
    <x v="0"/>
    <x v="8"/>
    <n v="44467"/>
    <x v="2"/>
    <x v="0"/>
    <x v="7"/>
    <x v="2"/>
    <x v="149"/>
    <s v="Trà Oolong – Hộp 160G"/>
    <s v="Hộp"/>
    <n v="2"/>
    <n v="0.32"/>
    <d v="1899-12-30T03:50:24"/>
    <n v="44531"/>
    <s v="Hàng cận date - không bán được"/>
    <n v="214537.02"/>
    <x v="0"/>
    <n v="2"/>
    <n v="214537.02"/>
    <x v="0"/>
    <x v="0"/>
  </r>
  <r>
    <x v="0"/>
    <x v="8"/>
    <n v="44467"/>
    <x v="2"/>
    <x v="0"/>
    <x v="7"/>
    <x v="2"/>
    <x v="149"/>
    <s v="Trà Oolong – Hộp 160G"/>
    <s v="Hộp"/>
    <n v="56"/>
    <n v="8.9600000000000009"/>
    <d v="1899-12-30T03:50:24"/>
    <n v="44532"/>
    <s v="Hàng cận date - không bán được"/>
    <n v="6007036.5599999996"/>
    <x v="0"/>
    <n v="56"/>
    <n v="6007036.5599999996"/>
    <x v="0"/>
    <x v="0"/>
  </r>
  <r>
    <x v="0"/>
    <x v="8"/>
    <n v="44467"/>
    <x v="2"/>
    <x v="0"/>
    <x v="7"/>
    <x v="2"/>
    <x v="149"/>
    <s v="Trà Oolong – Hộp 160G"/>
    <s v="Hộp"/>
    <n v="3"/>
    <n v="0.48"/>
    <d v="1899-12-30T03:50:24"/>
    <n v="44535"/>
    <s v="Hàng cận date - không bán được"/>
    <n v="321805.52999999997"/>
    <x v="0"/>
    <n v="3"/>
    <n v="321805.52999999997"/>
    <x v="0"/>
    <x v="0"/>
  </r>
  <r>
    <x v="0"/>
    <x v="9"/>
    <n v="44480"/>
    <x v="8"/>
    <x v="1"/>
    <x v="22"/>
    <x v="1"/>
    <x v="150"/>
    <s v="Bột trộn sẵn Breader 10 kg"/>
    <s v="Kg"/>
    <n v="294"/>
    <n v="294"/>
    <d v="1899-12-31T00:00:00"/>
    <n v="44487"/>
    <s v="Delay Chicken nugget production plan to Nov-2021 due to Covid- "/>
    <n v="9114000"/>
    <x v="0"/>
    <n v="0"/>
    <n v="0"/>
    <x v="0"/>
    <x v="0"/>
  </r>
  <r>
    <x v="0"/>
    <x v="9"/>
    <n v="44481"/>
    <x v="4"/>
    <x v="0"/>
    <x v="25"/>
    <x v="2"/>
    <x v="133"/>
    <s v="CJ Bibigo Xốt ướp thịt Bulgogi - Vị mặn ngọt 80 gr"/>
    <s v="Gói"/>
    <n v="86"/>
    <n v="6.88"/>
    <d v="1899-12-30T01:55:12"/>
    <n v="44577"/>
    <s v="Low sales"/>
    <n v="144736.14240000001"/>
    <x v="0"/>
    <n v="0"/>
    <n v="0"/>
    <x v="0"/>
    <x v="0"/>
  </r>
  <r>
    <x v="0"/>
    <x v="9"/>
    <n v="44481"/>
    <x v="0"/>
    <x v="0"/>
    <x v="18"/>
    <x v="2"/>
    <x v="151"/>
    <s v="Bánh Mandu Thịt và Bắp CJ Bibigo - Gói 1.505Kg - Thùng 9,03Kg"/>
    <s v="Gói"/>
    <n v="5"/>
    <n v="7.5250000000000004"/>
    <d v="1899-12-31T12:07:12"/>
    <n v="44728"/>
    <s v="Low sales"/>
    <n v="317000.00300000003"/>
    <x v="0"/>
    <n v="0"/>
    <n v="0"/>
    <x v="0"/>
    <x v="0"/>
  </r>
  <r>
    <x v="0"/>
    <x v="9"/>
    <n v="44481"/>
    <x v="2"/>
    <x v="0"/>
    <x v="7"/>
    <x v="2"/>
    <x v="152"/>
    <s v="Trà Oolong – Lon đỏ 150G"/>
    <s v="Lon"/>
    <n v="8"/>
    <n v="1.2"/>
    <d v="1899-12-30T03:36:00"/>
    <n v="44878"/>
    <s v="Low sales"/>
    <n v="315039.84639999998"/>
    <x v="0"/>
    <n v="3"/>
    <n v="118139.9424"/>
    <x v="0"/>
    <x v="0"/>
  </r>
  <r>
    <x v="0"/>
    <x v="9"/>
    <n v="44487"/>
    <x v="3"/>
    <x v="0"/>
    <x v="21"/>
    <x v="2"/>
    <x v="65"/>
    <s v="Đậu hũ chiên Ông Kim's 350gr"/>
    <s v="Hộp"/>
    <n v="461"/>
    <n v="161.35"/>
    <d v="1899-12-30T08:24:00"/>
    <n v="44494"/>
    <s v="Low sales"/>
    <n v="5163200"/>
    <x v="0"/>
    <n v="461"/>
    <n v="5163200"/>
    <x v="0"/>
    <x v="0"/>
  </r>
  <r>
    <x v="0"/>
    <x v="9"/>
    <n v="44487"/>
    <x v="3"/>
    <x v="0"/>
    <x v="21"/>
    <x v="2"/>
    <x v="66"/>
    <s v="Đậu hũ miếng Bibigo Ông Kim's 250gr"/>
    <s v="Hộp"/>
    <n v="20"/>
    <n v="5"/>
    <d v="1899-12-30T06:00:00"/>
    <n v="44494"/>
    <s v="Low sales"/>
    <n v="102000"/>
    <x v="0"/>
    <n v="0"/>
    <n v="0"/>
    <x v="0"/>
    <x v="0"/>
  </r>
  <r>
    <x v="0"/>
    <x v="9"/>
    <n v="44487"/>
    <x v="3"/>
    <x v="0"/>
    <x v="21"/>
    <x v="2"/>
    <x v="87"/>
    <s v="Đậu hũ non Bibigo Ông Kim's 220gr"/>
    <s v="Cây"/>
    <n v="25"/>
    <n v="5.5"/>
    <d v="1899-12-30T05:16:48"/>
    <n v="44494"/>
    <s v="Low sales"/>
    <n v="107500"/>
    <x v="0"/>
    <n v="0"/>
    <n v="0"/>
    <x v="0"/>
    <x v="0"/>
  </r>
  <r>
    <x v="0"/>
    <x v="9"/>
    <n v="44487"/>
    <x v="3"/>
    <x v="0"/>
    <x v="12"/>
    <x v="2"/>
    <x v="31"/>
    <s v="Bibigo Kimchi cải thảo - ngò 100gr"/>
    <s v="Túi"/>
    <n v="1"/>
    <n v="0.1"/>
    <d v="1899-12-30T02:24:00"/>
    <n v="44521"/>
    <s v="Low sales"/>
    <n v="5996.7127"/>
    <x v="0"/>
    <n v="0"/>
    <n v="0"/>
    <x v="0"/>
    <x v="0"/>
  </r>
  <r>
    <x v="0"/>
    <x v="9"/>
    <n v="44487"/>
    <x v="3"/>
    <x v="0"/>
    <x v="12"/>
    <x v="2"/>
    <x v="31"/>
    <s v="Bibigo Kimchi cải thảo - ngò 100gr"/>
    <s v="Túi"/>
    <n v="46"/>
    <n v="4.6000000000000005"/>
    <d v="1899-12-30T02:24:00"/>
    <n v="44522"/>
    <s v="Low sales"/>
    <n v="275848.78419999999"/>
    <x v="0"/>
    <n v="0"/>
    <n v="0"/>
    <x v="0"/>
    <x v="0"/>
  </r>
  <r>
    <x v="0"/>
    <x v="9"/>
    <n v="44487"/>
    <x v="2"/>
    <x v="0"/>
    <x v="34"/>
    <x v="2"/>
    <x v="7"/>
    <s v="Nước Uống Collagen Innerb Glowshot ((50ML*6EA)*10EA/CT)"/>
    <s v="Hộp"/>
    <n v="2"/>
    <n v="0.6"/>
    <d v="1899-12-30T07:12:00"/>
    <n v="44665"/>
    <s v="Low sales"/>
    <n v="92742.54"/>
    <x v="0"/>
    <n v="0"/>
    <n v="0"/>
    <x v="0"/>
    <x v="0"/>
  </r>
  <r>
    <x v="0"/>
    <x v="9"/>
    <n v="44487"/>
    <x v="4"/>
    <x v="0"/>
    <x v="25"/>
    <x v="2"/>
    <x v="153"/>
    <s v="Xốt ướp Bulgogi cay 10KG"/>
    <s v="Thùng"/>
    <n v="1"/>
    <n v="10"/>
    <d v="1900-01-09T00:00:00"/>
    <n v="44594"/>
    <s v="Low sales"/>
    <n v="342618.4509"/>
    <x v="0"/>
    <n v="0"/>
    <n v="0"/>
    <x v="0"/>
    <x v="0"/>
  </r>
  <r>
    <x v="0"/>
    <x v="9"/>
    <n v="44487"/>
    <x v="0"/>
    <x v="0"/>
    <x v="18"/>
    <x v="2"/>
    <x v="154"/>
    <s v="Bánh Mandu Thịt CJ Bibigo – Gói 350g (GT) Không khay - QC 24 gói/ thùng"/>
    <s v="Gói"/>
    <n v="29"/>
    <n v="10.15"/>
    <d v="1899-12-30T08:24:00"/>
    <n v="44644"/>
    <s v="Low sales"/>
    <n v="220400"/>
    <x v="0"/>
    <n v="0"/>
    <n v="0"/>
    <x v="0"/>
    <x v="0"/>
  </r>
  <r>
    <x v="0"/>
    <x v="10"/>
    <n v="44502"/>
    <x v="0"/>
    <x v="0"/>
    <x v="35"/>
    <x v="0"/>
    <x v="134"/>
    <s v="Bánh Mandu Thịt và Bắp CJ Bibigo – Gói 350g (GT)"/>
    <s v="Gói"/>
    <n v="102"/>
    <n v="35.699999999999996"/>
    <d v="1899-12-30T08:24:00"/>
    <m/>
    <s v="Low sales"/>
    <n v="2101200"/>
    <x v="0"/>
    <n v="102"/>
    <n v="2101200"/>
    <x v="0"/>
    <x v="0"/>
  </r>
  <r>
    <x v="0"/>
    <x v="10"/>
    <n v="44502"/>
    <x v="8"/>
    <x v="1"/>
    <x v="22"/>
    <x v="1"/>
    <x v="155"/>
    <s v="Hạt Sen Đông Lạnh"/>
    <s v="Kg"/>
    <n v="291"/>
    <n v="291"/>
    <d v="1899-12-31T00:00:00"/>
    <n v="44684"/>
    <s v="NO production plan"/>
    <n v="8439000"/>
    <x v="0"/>
    <n v="0"/>
    <n v="0"/>
    <x v="0"/>
    <x v="0"/>
  </r>
  <r>
    <x v="0"/>
    <x v="10"/>
    <n v="44502"/>
    <x v="5"/>
    <x v="0"/>
    <x v="16"/>
    <x v="2"/>
    <x v="156"/>
    <s v="Cá viên rau củ 500g 160 viên/kg"/>
    <s v="Kg"/>
    <n v="17.5"/>
    <n v="17.5"/>
    <d v="1899-12-31T00:00:00"/>
    <n v="44745"/>
    <s v="Low sales"/>
    <n v="339660.06724999996"/>
    <x v="0"/>
    <n v="17.5"/>
    <n v="339660.06724999996"/>
    <x v="0"/>
    <x v="0"/>
  </r>
  <r>
    <x v="0"/>
    <x v="10"/>
    <n v="44502"/>
    <x v="2"/>
    <x v="0"/>
    <x v="34"/>
    <x v="2"/>
    <x v="7"/>
    <s v="Nước Uống Collagen Innerb Glowshot ((50ML*6EA)*10EA/CT)"/>
    <s v="Hộp"/>
    <n v="1"/>
    <n v="0.3"/>
    <d v="1899-12-30T07:12:00"/>
    <n v="44596"/>
    <s v="Cover quality issue"/>
    <n v="6371.2700000000041"/>
    <x v="0"/>
    <n v="0"/>
    <n v="0"/>
    <x v="0"/>
    <x v="0"/>
  </r>
  <r>
    <x v="0"/>
    <x v="10"/>
    <n v="44502"/>
    <x v="2"/>
    <x v="0"/>
    <x v="34"/>
    <x v="2"/>
    <x v="7"/>
    <s v="Nước Uống Collagen Innerb Glowshot ((50ML*6EA)*10EA/CT)"/>
    <s v="Hộp"/>
    <n v="19"/>
    <n v="5.7"/>
    <d v="1899-12-30T07:12:00"/>
    <n v="44615"/>
    <s v="Cover quality issue"/>
    <n v="121054.13000000008"/>
    <x v="0"/>
    <n v="19"/>
    <n v="121054.13000000008"/>
    <x v="0"/>
    <x v="0"/>
  </r>
  <r>
    <x v="0"/>
    <x v="10"/>
    <n v="44502"/>
    <x v="2"/>
    <x v="0"/>
    <x v="34"/>
    <x v="2"/>
    <x v="138"/>
    <s v="Thực Phẩm Bảo Vệ Sức Khỏe INNERB AQUA BANK (16.8G*20EA/CT)"/>
    <s v="Hộp"/>
    <n v="119"/>
    <n v="1.9992000000000001"/>
    <d v="1899-12-30T00:24:12"/>
    <n v="44567"/>
    <s v="Cover quality issue"/>
    <n v="6147997.6144999992"/>
    <x v="0"/>
    <n v="0"/>
    <n v="0"/>
    <x v="0"/>
    <x v="0"/>
  </r>
  <r>
    <x v="0"/>
    <x v="10"/>
    <n v="44502"/>
    <x v="2"/>
    <x v="0"/>
    <x v="34"/>
    <x v="2"/>
    <x v="138"/>
    <s v="Thực Phẩm Bảo Vệ Sức Khỏe INNERB AQUA BANK (16.8G*20EA/CT)"/>
    <s v="Hộp"/>
    <n v="155"/>
    <n v="2.6039999999999996"/>
    <d v="1899-12-30T00:24:12"/>
    <n v="44568"/>
    <s v="Cover quality issue"/>
    <n v="8007896.0525000002"/>
    <x v="0"/>
    <n v="124"/>
    <n v="6406316.8419999992"/>
    <x v="0"/>
    <x v="0"/>
  </r>
  <r>
    <x v="0"/>
    <x v="10"/>
    <n v="44502"/>
    <x v="2"/>
    <x v="0"/>
    <x v="34"/>
    <x v="2"/>
    <x v="138"/>
    <s v="Thực Phẩm Bảo Vệ Sức Khỏe INNERB AQUA BANK (16.8G*20EA/CT)"/>
    <s v="Hộp"/>
    <n v="1"/>
    <n v="1.6799999999999999E-2"/>
    <d v="1899-12-30T00:24:12"/>
    <n v="44639"/>
    <s v="Cover quality issue"/>
    <n v="51663.845500000003"/>
    <x v="0"/>
    <n v="0"/>
    <n v="0"/>
    <x v="0"/>
    <x v="0"/>
  </r>
  <r>
    <x v="0"/>
    <x v="10"/>
    <n v="44502"/>
    <x v="5"/>
    <x v="0"/>
    <x v="24"/>
    <x v="2"/>
    <x v="9"/>
    <s v="Chả Lụa Quết Thượng Hạng 500g (mát)"/>
    <s v="Gói"/>
    <n v="24"/>
    <n v="12"/>
    <d v="1899-12-30T12:00:00"/>
    <n v="44549"/>
    <s v="quality issue, blurred date"/>
    <n v="1279234.8672"/>
    <x v="0"/>
    <n v="0"/>
    <n v="0"/>
    <x v="0"/>
    <x v="0"/>
  </r>
  <r>
    <x v="0"/>
    <x v="10"/>
    <n v="44502"/>
    <x v="5"/>
    <x v="0"/>
    <x v="24"/>
    <x v="2"/>
    <x v="9"/>
    <s v="Chả Lụa Quết Thượng Hạng 500g (mát)"/>
    <s v="Gói"/>
    <n v="84"/>
    <n v="42"/>
    <d v="1899-12-30T12:00:00"/>
    <n v="44550"/>
    <s v="quality issue, blurred date"/>
    <n v="4477322.0351999998"/>
    <x v="0"/>
    <n v="72"/>
    <n v="3837704.6016000002"/>
    <x v="0"/>
    <x v="0"/>
  </r>
  <r>
    <x v="0"/>
    <x v="10"/>
    <n v="44502"/>
    <x v="5"/>
    <x v="0"/>
    <x v="24"/>
    <x v="2"/>
    <x v="9"/>
    <s v="Chả Lụa Quết Thượng Hạng 500g (mát)"/>
    <s v="Gói"/>
    <n v="60"/>
    <n v="30"/>
    <d v="1899-12-30T12:00:00"/>
    <n v="44551"/>
    <s v="Quality issue, blurred date"/>
    <n v="3198087.1680000001"/>
    <x v="0"/>
    <n v="0"/>
    <n v="0"/>
    <x v="0"/>
    <x v="0"/>
  </r>
  <r>
    <x v="0"/>
    <x v="10"/>
    <n v="44502"/>
    <x v="0"/>
    <x v="0"/>
    <x v="3"/>
    <x v="2"/>
    <x v="125"/>
    <s v="Há Cảo CTE Mini - Gói 500g"/>
    <s v="Gói"/>
    <n v="5"/>
    <n v="2.5"/>
    <d v="1899-12-30T12:00:00"/>
    <n v="44625"/>
    <s v="Return order"/>
    <n v="86499.063999999998"/>
    <x v="0"/>
    <n v="0"/>
    <n v="0"/>
    <x v="0"/>
    <x v="0"/>
  </r>
  <r>
    <x v="0"/>
    <x v="10"/>
    <n v="44509"/>
    <x v="2"/>
    <x v="0"/>
    <x v="36"/>
    <x v="0"/>
    <x v="138"/>
    <s v="이너비Thực phẩm bảo vệ sức khỏe INNERB AQUA BANK (16.8G*20EA/CT)"/>
    <s v="EA"/>
    <n v="8"/>
    <n v="0.13439999999999999"/>
    <d v="1899-12-30T00:24:12"/>
    <n v="44567"/>
    <s v="Return order"/>
    <n v="245310.76399999997"/>
    <x v="0"/>
    <n v="8"/>
    <n v="245310.76399999997"/>
    <x v="0"/>
    <x v="0"/>
  </r>
  <r>
    <x v="0"/>
    <x v="10"/>
    <n v="44509"/>
    <x v="5"/>
    <x v="0"/>
    <x v="16"/>
    <x v="2"/>
    <x v="157"/>
    <s v="Cá viên rau củ hải sản AB 500g 160 viên/kg"/>
    <s v="Kg"/>
    <n v="1"/>
    <n v="1"/>
    <d v="1899-12-31T00:00:00"/>
    <n v="44748"/>
    <s v="Low sales and De-MKT"/>
    <n v="30400"/>
    <x v="0"/>
    <n v="0"/>
    <n v="0"/>
    <x v="0"/>
    <x v="0"/>
  </r>
  <r>
    <x v="0"/>
    <x v="10"/>
    <n v="44509"/>
    <x v="1"/>
    <x v="0"/>
    <x v="37"/>
    <x v="2"/>
    <x v="126"/>
    <s v="Cầu Tre Pure bánh tráng chả giò 280g"/>
    <s v="Gói"/>
    <n v="124"/>
    <n v="34.720000000000006"/>
    <d v="1899-12-30T06:43:12"/>
    <n v="44572"/>
    <s v="Return order"/>
    <n v="770919.65599999984"/>
    <x v="0"/>
    <n v="0"/>
    <n v="0"/>
    <x v="0"/>
    <x v="0"/>
  </r>
  <r>
    <x v="0"/>
    <x v="10"/>
    <n v="44509"/>
    <x v="7"/>
    <x v="0"/>
    <x v="30"/>
    <x v="2"/>
    <x v="158"/>
    <s v="Bột mì loại 1 - 20KG"/>
    <s v="Bao"/>
    <n v="1"/>
    <n v="20"/>
    <d v="1900-01-19T00:00:00"/>
    <n v="44644"/>
    <s v="Low sales "/>
    <n v="75298.612899999993"/>
    <x v="0"/>
    <n v="1"/>
    <n v="75298.612899999993"/>
    <x v="0"/>
    <x v="0"/>
  </r>
  <r>
    <x v="0"/>
    <x v="10"/>
    <n v="44509"/>
    <x v="0"/>
    <x v="0"/>
    <x v="18"/>
    <x v="2"/>
    <x v="111"/>
    <s v="Bánh Mandu Thịt và Bắp CJ Bibigo – Gói 350g"/>
    <s v="Gói"/>
    <n v="43"/>
    <n v="15.05"/>
    <d v="1899-12-30T08:24:00"/>
    <n v="44621"/>
    <s v="Return order"/>
    <n v="-197790.97429999991"/>
    <x v="0"/>
    <n v="0"/>
    <n v="0"/>
    <x v="0"/>
    <x v="0"/>
  </r>
  <r>
    <x v="0"/>
    <x v="10"/>
    <n v="44515"/>
    <x v="3"/>
    <x v="0"/>
    <x v="12"/>
    <x v="0"/>
    <x v="53"/>
    <s v="Kim chi cải thảo cắt lát Ông Kim's 5Kg-GGG"/>
    <s v="Túi"/>
    <n v="36"/>
    <n v="180"/>
    <d v="1900-01-04T00:00:00"/>
    <n v="44522"/>
    <s v="Low sales"/>
    <n v="3244522.5468000001"/>
    <x v="0"/>
    <n v="36"/>
    <n v="3244522.5468000001"/>
    <x v="0"/>
    <x v="0"/>
  </r>
  <r>
    <x v="0"/>
    <x v="10"/>
    <n v="44515"/>
    <x v="4"/>
    <x v="0"/>
    <x v="32"/>
    <x v="0"/>
    <x v="159"/>
    <s v="새콤달콤초고추장 300GTương ớt chua ngọt"/>
    <s v="EA"/>
    <n v="31"/>
    <n v="9.2999999999999989"/>
    <d v="1899-12-30T07:12:00"/>
    <n v="44671"/>
    <s v="Low sales"/>
    <n v="170464.78400000004"/>
    <x v="0"/>
    <n v="31"/>
    <n v="170464.78400000004"/>
    <x v="0"/>
    <x v="0"/>
  </r>
  <r>
    <x v="0"/>
    <x v="10"/>
    <n v="44515"/>
    <x v="6"/>
    <x v="0"/>
    <x v="38"/>
    <x v="0"/>
    <x v="160"/>
    <s v="Ohya Fun Mix Nugget, Phô mai Da xốp - Gói 270G"/>
    <s v="Gói"/>
    <n v="2"/>
    <n v="0.54"/>
    <d v="1899-12-30T06:28:48"/>
    <n v="44589"/>
    <s v="Low sales"/>
    <n v="24600.012199999997"/>
    <x v="0"/>
    <n v="2"/>
    <n v="24600.012199999997"/>
    <x v="0"/>
    <x v="0"/>
  </r>
  <r>
    <x v="0"/>
    <x v="10"/>
    <n v="44515"/>
    <x v="7"/>
    <x v="0"/>
    <x v="33"/>
    <x v="0"/>
    <x v="132"/>
    <s v="Canh Hàn Quốc - Canh tương đậu hũ 4.3g x 10 gói"/>
    <s v="Hộp"/>
    <n v="6"/>
    <n v="0.25800000000000001"/>
    <d v="1899-12-30T01:01:55"/>
    <n v="44753"/>
    <s v="Low sales"/>
    <n v="75840.000599999999"/>
    <x v="0"/>
    <n v="6"/>
    <n v="75840.000599999999"/>
    <x v="0"/>
    <x v="0"/>
  </r>
  <r>
    <x v="0"/>
    <x v="10"/>
    <n v="44515"/>
    <x v="7"/>
    <x v="0"/>
    <x v="31"/>
    <x v="0"/>
    <x v="161"/>
    <s v="Canh Hàn Quốc - Canh rong biển đậu hũ 4.3g x 10 gói"/>
    <s v="Hộp"/>
    <n v="14"/>
    <n v="0.56000000000000005"/>
    <d v="1899-12-30T00:57:36"/>
    <n v="44745"/>
    <s v="Low sales"/>
    <n v="176960"/>
    <x v="0"/>
    <n v="2"/>
    <n v="25280"/>
    <x v="0"/>
    <x v="0"/>
  </r>
  <r>
    <x v="0"/>
    <x v="10"/>
    <n v="44515"/>
    <x v="3"/>
    <x v="0"/>
    <x v="21"/>
    <x v="2"/>
    <x v="66"/>
    <s v="Đậu hũ miếng Bibigo Ông Kim's 250gr"/>
    <s v="Hộp"/>
    <n v="5"/>
    <n v="1.25"/>
    <d v="1899-12-30T06:00:00"/>
    <n v="44522"/>
    <s v="Low sales"/>
    <n v="25500"/>
    <x v="0"/>
    <n v="0"/>
    <n v="0"/>
    <x v="0"/>
    <x v="0"/>
  </r>
  <r>
    <x v="0"/>
    <x v="10"/>
    <n v="44515"/>
    <x v="2"/>
    <x v="0"/>
    <x v="36"/>
    <x v="2"/>
    <x v="7"/>
    <s v="Nước Uống Collagen Innerb Glowshot ((50ML*6EA)*10EA/CT)"/>
    <s v="Hộp"/>
    <n v="2"/>
    <n v="0.6"/>
    <d v="1899-12-30T07:12:00"/>
    <n v="44644"/>
    <s v="Return order"/>
    <n v="-82349.361200000014"/>
    <x v="0"/>
    <n v="0"/>
    <n v="0"/>
    <x v="0"/>
    <x v="0"/>
  </r>
  <r>
    <x v="0"/>
    <x v="10"/>
    <n v="44515"/>
    <x v="0"/>
    <x v="0"/>
    <x v="18"/>
    <x v="2"/>
    <x v="111"/>
    <s v="Bánh Mandu Thịt và Bắp CJ Bibigo – Gói 350g"/>
    <s v="Gói"/>
    <n v="16"/>
    <n v="5.6"/>
    <d v="1899-12-30T08:24:00"/>
    <n v="44621"/>
    <s v="Return order"/>
    <n v="150403.35840000003"/>
    <x v="0"/>
    <n v="0"/>
    <n v="0"/>
    <x v="0"/>
    <x v="0"/>
  </r>
  <r>
    <x v="0"/>
    <x v="10"/>
    <n v="44516"/>
    <x v="8"/>
    <x v="1"/>
    <x v="22"/>
    <x v="1"/>
    <x v="97"/>
    <s v="Bột khai (hiệu Người Cá – Lệ Hương)"/>
    <s v="Kg"/>
    <n v="19.8"/>
    <n v="19.8"/>
    <d v="1899-12-31T00:00:00"/>
    <n v="44849"/>
    <s v="Low usage"/>
    <n v="237600"/>
    <x v="1"/>
    <n v="0"/>
    <n v="0"/>
    <x v="0"/>
    <x v="0"/>
  </r>
  <r>
    <x v="0"/>
    <x v="10"/>
    <n v="44516"/>
    <x v="8"/>
    <x v="1"/>
    <x v="22"/>
    <x v="1"/>
    <x v="162"/>
    <s v="Hạt nêm gà –  Dasida Chicken Essence Seasoning"/>
    <s v="Kg"/>
    <n v="279"/>
    <n v="279"/>
    <d v="1899-12-31T00:00:00"/>
    <n v="44680"/>
    <s v="No production plan"/>
    <n v="5372583.8028169023"/>
    <x v="0"/>
    <n v="27"/>
    <n v="519927.46478873247"/>
    <x v="0"/>
    <x v="0"/>
  </r>
  <r>
    <x v="0"/>
    <x v="10"/>
    <n v="44516"/>
    <x v="8"/>
    <x v="1"/>
    <x v="22"/>
    <x v="1"/>
    <x v="163"/>
    <s v="Hương thịt bò YX-90305"/>
    <s v="Kg"/>
    <n v="9"/>
    <n v="9"/>
    <d v="1899-12-31T00:00:00"/>
    <n v="44854"/>
    <s v="No production plan"/>
    <n v="1710000"/>
    <x v="0"/>
    <n v="0"/>
    <n v="0"/>
    <x v="0"/>
    <x v="0"/>
  </r>
  <r>
    <x v="0"/>
    <x v="10"/>
    <n v="44516"/>
    <x v="8"/>
    <x v="1"/>
    <x v="22"/>
    <x v="1"/>
    <x v="164"/>
    <s v="Hương gà 563566 C16  / Chicken Flavor"/>
    <s v="Kg"/>
    <n v="24"/>
    <n v="24"/>
    <d v="1899-12-31T00:00:00"/>
    <n v="44585"/>
    <s v="Foseca transfer back to TP"/>
    <n v="8088000"/>
    <x v="0"/>
    <n v="0"/>
    <n v="0"/>
    <x v="0"/>
    <x v="0"/>
  </r>
  <r>
    <x v="0"/>
    <x v="10"/>
    <n v="44522"/>
    <x v="0"/>
    <x v="0"/>
    <x v="18"/>
    <x v="2"/>
    <x v="165"/>
    <s v="Bánh Mandu Thịt CJ Bibigo - gói 1.505kg- Thùng 9,03 kg "/>
    <s v="Gói"/>
    <n v="384"/>
    <n v="577.91999999999996"/>
    <d v="1899-12-31T12:07:12"/>
    <n v="44645"/>
    <s v="The goods arrived late, the transporter did not notify the QC to check the quality before entering the warehouse"/>
    <n v="21372001.459199999"/>
    <x v="0"/>
    <n v="0"/>
    <n v="0"/>
    <x v="0"/>
    <x v="0"/>
  </r>
  <r>
    <x v="0"/>
    <x v="10"/>
    <n v="44523"/>
    <x v="6"/>
    <x v="0"/>
    <x v="8"/>
    <x v="0"/>
    <x v="166"/>
    <s v="Ohya Bánh cuộn thịt xúc xích phô mai 195g/ gói"/>
    <s v="Gói"/>
    <n v="15"/>
    <n v="2.9250000000000003"/>
    <d v="1899-12-30T04:40:48"/>
    <n v="44734"/>
    <s v="Low sales"/>
    <n v="85500.001500000013"/>
    <x v="0"/>
    <n v="10"/>
    <n v="57000.001000000011"/>
    <x v="0"/>
    <x v="0"/>
  </r>
  <r>
    <x v="0"/>
    <x v="10"/>
    <n v="44523"/>
    <x v="0"/>
    <x v="0"/>
    <x v="18"/>
    <x v="2"/>
    <x v="88"/>
    <s v="Bánh Mandu Thịt CJ Bibigo – Gói 350g"/>
    <s v="Gói"/>
    <n v="4"/>
    <n v="1.4"/>
    <d v="1899-12-30T08:24:00"/>
    <n v="44629"/>
    <s v="Return order"/>
    <n v="33997.101999999999"/>
    <x v="0"/>
    <n v="0"/>
    <n v="0"/>
    <x v="0"/>
    <x v="0"/>
  </r>
  <r>
    <x v="0"/>
    <x v="10"/>
    <n v="44523"/>
    <x v="0"/>
    <x v="0"/>
    <x v="18"/>
    <x v="2"/>
    <x v="134"/>
    <s v="Bánh Mandu Thịt và Bắp CJ Bibigo – Gói 350g (GT)"/>
    <s v="Gói"/>
    <n v="16"/>
    <n v="5.6"/>
    <d v="1899-12-30T08:24:00"/>
    <n v="44671"/>
    <s v="Return order"/>
    <n v="121600"/>
    <x v="0"/>
    <n v="0"/>
    <n v="0"/>
    <x v="0"/>
    <x v="0"/>
  </r>
  <r>
    <x v="0"/>
    <x v="10"/>
    <n v="44523"/>
    <x v="0"/>
    <x v="0"/>
    <x v="3"/>
    <x v="2"/>
    <x v="167"/>
    <s v="Xíu Mại CTE Gói 500g"/>
    <s v="Gói"/>
    <n v="8"/>
    <n v="4"/>
    <d v="1899-12-30T12:00:00"/>
    <n v="44623"/>
    <s v="Return order"/>
    <n v="111991.22560000001"/>
    <x v="0"/>
    <n v="0"/>
    <n v="0"/>
    <x v="0"/>
    <x v="0"/>
  </r>
  <r>
    <x v="0"/>
    <x v="10"/>
    <n v="44523"/>
    <x v="0"/>
    <x v="0"/>
    <x v="3"/>
    <x v="2"/>
    <x v="167"/>
    <s v="Xíu Mại CTE Gói 500g"/>
    <s v="Gói"/>
    <n v="17"/>
    <n v="8.5"/>
    <d v="1899-12-30T12:00:00"/>
    <n v="44636"/>
    <s v="Return order"/>
    <n v="237981.35440000001"/>
    <x v="0"/>
    <n v="0"/>
    <n v="0"/>
    <x v="0"/>
    <x v="0"/>
  </r>
  <r>
    <x v="0"/>
    <x v="10"/>
    <n v="44526"/>
    <x v="8"/>
    <x v="1"/>
    <x v="22"/>
    <x v="1"/>
    <x v="75"/>
    <s v="Mực Nang size 8-12 BTP"/>
    <s v="Kg"/>
    <n v="2000"/>
    <n v="2000"/>
    <d v="1899-12-31T00:00:00"/>
    <n v="44561"/>
    <s v="Low usage, release stock in Tan Phu"/>
    <n v="161019548.1832543"/>
    <x v="0"/>
    <n v="2000"/>
    <n v="161019548.1832543"/>
    <x v="0"/>
    <x v="0"/>
  </r>
  <r>
    <x v="0"/>
    <x v="10"/>
    <n v="44527"/>
    <x v="0"/>
    <x v="0"/>
    <x v="18"/>
    <x v="2"/>
    <x v="62"/>
    <s v="Bánh Mandu Thịt CJ Bibigo - gói 1.505kg- Thùng 9,03 kg"/>
    <s v="Gói"/>
    <n v="2"/>
    <n v="3.01"/>
    <d v="1899-12-31T12:07:12"/>
    <n v="44567"/>
    <s v="Rách      (QC đã kiểm tra ngoại quan vẫn có thể bán nội bộ,không lưu thông thị trường)"/>
    <n v="167312.50760000001"/>
    <x v="0"/>
    <n v="2"/>
    <n v="167312.50760000001"/>
    <x v="0"/>
    <x v="0"/>
  </r>
  <r>
    <x v="0"/>
    <x v="10"/>
    <n v="44527"/>
    <x v="0"/>
    <x v="0"/>
    <x v="18"/>
    <x v="2"/>
    <x v="62"/>
    <s v="Bánh Mandu Thịt CJ Bibigo - gói 1.505kg- Thùng 9,03 kg"/>
    <s v="Gói"/>
    <n v="9"/>
    <n v="13.544999999999998"/>
    <d v="1899-12-31T12:07:12"/>
    <n v="44645"/>
    <s v="Rách      (QC đã kiểm tra ngoại quan vẫn có thể bán nội bộ,không lưu thông thị trường)"/>
    <n v="752906.28420000011"/>
    <x v="0"/>
    <n v="9"/>
    <n v="752906.28420000011"/>
    <x v="0"/>
    <x v="0"/>
  </r>
  <r>
    <x v="0"/>
    <x v="10"/>
    <n v="44527"/>
    <x v="0"/>
    <x v="0"/>
    <x v="18"/>
    <x v="2"/>
    <x v="62"/>
    <s v="Bánh Mandu Thịt CJ Bibigo - gói 1.505kg- Thùng 9,03 kg"/>
    <s v="Gói"/>
    <n v="12"/>
    <n v="18.059999999999999"/>
    <d v="1899-12-31T12:07:12"/>
    <n v="44645"/>
    <s v="Rách      (QC đã kiểm tra ngoại quan vẫn có thể bán nội bộ,không lưu thông thị trường)"/>
    <n v="1003875.0456"/>
    <x v="0"/>
    <n v="12"/>
    <n v="1003875.0456"/>
    <x v="0"/>
    <x v="0"/>
  </r>
  <r>
    <x v="0"/>
    <x v="10"/>
    <n v="44527"/>
    <x v="0"/>
    <x v="0"/>
    <x v="18"/>
    <x v="2"/>
    <x v="62"/>
    <s v="Bánh Mandu Thịt CJ Bibigo - gói 1.505kg- Thùng 9,03 kg"/>
    <s v="Gói"/>
    <n v="2"/>
    <n v="3.01"/>
    <d v="1899-12-31T12:07:12"/>
    <n v="44678"/>
    <s v="Rách      (QC đã kiểm tra ngoại quan vẫn có thể bán nội bộ,không lưu thông thị trường)"/>
    <n v="167312.50760000001"/>
    <x v="0"/>
    <n v="2"/>
    <n v="167312.50760000001"/>
    <x v="0"/>
    <x v="0"/>
  </r>
  <r>
    <x v="0"/>
    <x v="10"/>
    <n v="44527"/>
    <x v="0"/>
    <x v="0"/>
    <x v="18"/>
    <x v="2"/>
    <x v="62"/>
    <s v="Bánh Mandu Thịt CJ Bibigo - gói 1.505kg- Thùng 9,03 kg"/>
    <s v="Gói"/>
    <n v="7"/>
    <n v="10.535"/>
    <d v="1899-12-31T12:07:12"/>
    <n v="44727"/>
    <s v="Rách      (QC đã kiểm tra ngoại quan vẫn có thể bán nội bộ,không lưu thông thị trường)"/>
    <n v="585593.77659999998"/>
    <x v="0"/>
    <n v="7"/>
    <n v="585593.77659999998"/>
    <x v="0"/>
    <x v="0"/>
  </r>
  <r>
    <x v="0"/>
    <x v="10"/>
    <n v="44527"/>
    <x v="0"/>
    <x v="0"/>
    <x v="18"/>
    <x v="2"/>
    <x v="62"/>
    <s v="Bánh Mandu Thịt CJ Bibigo - gói 1.505kg- Thùng 9,03 kg"/>
    <s v="Gói"/>
    <n v="4"/>
    <n v="6.02"/>
    <d v="1899-12-31T12:07:12"/>
    <n v="44761"/>
    <s v="Rách      (QC đã kiểm tra ngoại quan vẫn có thể bán nội bộ,không lưu thông thị trường)"/>
    <n v="334625.01520000002"/>
    <x v="0"/>
    <n v="4"/>
    <n v="334625.01520000002"/>
    <x v="0"/>
    <x v="0"/>
  </r>
  <r>
    <x v="0"/>
    <x v="10"/>
    <n v="44527"/>
    <x v="0"/>
    <x v="0"/>
    <x v="18"/>
    <x v="2"/>
    <x v="62"/>
    <s v="Bánh Mandu Thịt CJ Bibigo - gói 1.505kg- Thùng 9,03 kg"/>
    <s v="Gói"/>
    <n v="67"/>
    <n v="100.83499999999999"/>
    <d v="1899-12-31T12:07:12"/>
    <n v="44762"/>
    <s v="Rách      (QC đã kiểm tra ngoại quan vẫn có thể bán nội bộ,không lưu thông thị trường)"/>
    <n v="5604969.0046000006"/>
    <x v="0"/>
    <n v="67"/>
    <n v="5604969.0046000006"/>
    <x v="0"/>
    <x v="0"/>
  </r>
  <r>
    <x v="0"/>
    <x v="10"/>
    <n v="44527"/>
    <x v="0"/>
    <x v="0"/>
    <x v="18"/>
    <x v="2"/>
    <x v="62"/>
    <s v="Bánh Mandu Thịt CJ Bibigo - gói 1.505kg- Thùng 9,03 kg"/>
    <s v="Gói"/>
    <n v="14"/>
    <n v="21.07"/>
    <d v="1899-12-31T12:07:12"/>
    <n v="44762"/>
    <s v="Rách      (QC đã kiểm tra ngoại quan vẫn có thể bán nội bộ,không lưu thông thị trường)"/>
    <n v="1171187.5532"/>
    <x v="0"/>
    <n v="14"/>
    <n v="1171187.5532"/>
    <x v="0"/>
    <x v="0"/>
  </r>
  <r>
    <x v="0"/>
    <x v="10"/>
    <n v="44527"/>
    <x v="0"/>
    <x v="0"/>
    <x v="18"/>
    <x v="2"/>
    <x v="62"/>
    <s v="Bánh Mandu Thịt CJ Bibigo - gói 1.505kg- Thùng 9,03 kg"/>
    <s v="Gói"/>
    <n v="34"/>
    <n v="51.169999999999995"/>
    <d v="1899-12-31T12:07:12"/>
    <n v="44789"/>
    <s v="Rách      (QC đã kiểm tra ngoại quan vẫn có thể bán nội bộ,không lưu thông thị trường)"/>
    <n v="2844312.6292000003"/>
    <x v="0"/>
    <n v="34"/>
    <n v="2844312.6292000003"/>
    <x v="0"/>
    <x v="0"/>
  </r>
  <r>
    <x v="0"/>
    <x v="10"/>
    <n v="44527"/>
    <x v="0"/>
    <x v="0"/>
    <x v="18"/>
    <x v="2"/>
    <x v="62"/>
    <s v="Bánh Mandu Thịt CJ Bibigo - gói 1.505kg- Thùng 9,03 kg"/>
    <s v="Gói"/>
    <n v="2"/>
    <n v="3.01"/>
    <d v="1899-12-31T12:07:12"/>
    <n v="44789"/>
    <s v="Rách      (QC đã kiểm tra ngoại quan vẫn có thể bán nội bộ,không lưu thông thị trường)"/>
    <n v="167312.50760000001"/>
    <x v="0"/>
    <n v="2"/>
    <n v="167312.50760000001"/>
    <x v="0"/>
    <x v="0"/>
  </r>
  <r>
    <x v="0"/>
    <x v="10"/>
    <n v="44527"/>
    <x v="0"/>
    <x v="0"/>
    <x v="18"/>
    <x v="2"/>
    <x v="62"/>
    <s v="Bánh Mandu Thịt CJ Bibigo - gói 1.505kg- Thùng 9,03 kg"/>
    <s v="Gói"/>
    <n v="8"/>
    <n v="12.04"/>
    <d v="1899-12-31T12:07:12"/>
    <n v="44790"/>
    <s v="Rách      (QC đã kiểm tra ngoại quan vẫn có thể bán nội bộ,không lưu thông thị trường)"/>
    <n v="669250.03040000005"/>
    <x v="0"/>
    <n v="8"/>
    <n v="669250.03040000005"/>
    <x v="0"/>
    <x v="0"/>
  </r>
  <r>
    <x v="0"/>
    <x v="10"/>
    <n v="44527"/>
    <x v="0"/>
    <x v="0"/>
    <x v="18"/>
    <x v="2"/>
    <x v="62"/>
    <s v="Bánh Mandu Thịt CJ Bibigo - gói 1.505kg- Thùng 9,03 kg"/>
    <s v="Gói"/>
    <n v="6"/>
    <n v="9.0299999999999994"/>
    <d v="1899-12-31T12:07:12"/>
    <n v="44790"/>
    <s v="Rách      (QC đã kiểm tra ngoại quan vẫn có thể bán nội bộ,không lưu thông thị trường)"/>
    <n v="501937.52279999998"/>
    <x v="0"/>
    <n v="6"/>
    <n v="501937.52279999998"/>
    <x v="0"/>
    <x v="0"/>
  </r>
  <r>
    <x v="0"/>
    <x v="10"/>
    <n v="44527"/>
    <x v="0"/>
    <x v="0"/>
    <x v="18"/>
    <x v="2"/>
    <x v="62"/>
    <s v="Bánh Mandu Thịt CJ Bibigo - gói 1.505kg- Thùng 9,03 kg"/>
    <s v="Gói"/>
    <n v="6"/>
    <n v="9.0299999999999994"/>
    <d v="1899-12-31T12:07:12"/>
    <n v="44840"/>
    <s v="Rách      (QC đã kiểm tra ngoại quan vẫn có thể bán nội bộ,không lưu thông thị trường)"/>
    <n v="501937.52279999998"/>
    <x v="0"/>
    <n v="6"/>
    <n v="501937.52279999998"/>
    <x v="0"/>
    <x v="0"/>
  </r>
  <r>
    <x v="0"/>
    <x v="10"/>
    <n v="44527"/>
    <x v="0"/>
    <x v="0"/>
    <x v="18"/>
    <x v="2"/>
    <x v="151"/>
    <s v="Bánh Mandu Thịt và Bắp CJ Bibigo - Gói 1.505Kg - Thùng 9,03Kg"/>
    <s v="Gói"/>
    <n v="3"/>
    <n v="4.5149999999999997"/>
    <d v="1899-12-31T12:07:12"/>
    <n v="44665"/>
    <s v="Rách      (QC đã kiểm tra ngoại quan vẫn có thể bán nội bộ,không lưu thông thị trường)"/>
    <n v="274200"/>
    <x v="0"/>
    <n v="3"/>
    <n v="274200"/>
    <x v="0"/>
    <x v="0"/>
  </r>
  <r>
    <x v="0"/>
    <x v="10"/>
    <n v="44527"/>
    <x v="0"/>
    <x v="0"/>
    <x v="18"/>
    <x v="2"/>
    <x v="151"/>
    <s v="Bánh Mandu Thịt và Bắp CJ Bibigo - Gói 1.505Kg - Thùng 9,03Kg"/>
    <s v="Gói"/>
    <n v="15"/>
    <n v="22.574999999999999"/>
    <d v="1899-12-31T12:07:12"/>
    <n v="44670"/>
    <s v="Rách      (QC đã kiểm tra ngoại quan vẫn có thể bán nội bộ,không lưu thông thị trường)"/>
    <n v="1371000"/>
    <x v="0"/>
    <n v="15"/>
    <n v="1371000"/>
    <x v="0"/>
    <x v="0"/>
  </r>
  <r>
    <x v="0"/>
    <x v="10"/>
    <n v="44527"/>
    <x v="0"/>
    <x v="0"/>
    <x v="18"/>
    <x v="2"/>
    <x v="151"/>
    <s v="Bánh Mandu Thịt và Bắp CJ Bibigo - Gói 1.505Kg - Thùng 9,03Kg"/>
    <s v="Gói"/>
    <n v="15"/>
    <n v="22.574999999999999"/>
    <d v="1899-12-31T12:07:12"/>
    <n v="44727"/>
    <s v="Rách      (QC đã kiểm tra ngoại quan vẫn có thể bán nội bộ,không lưu thông thị trường)"/>
    <n v="1371000"/>
    <x v="0"/>
    <n v="15"/>
    <n v="1371000"/>
    <x v="0"/>
    <x v="0"/>
  </r>
  <r>
    <x v="0"/>
    <x v="10"/>
    <n v="44527"/>
    <x v="0"/>
    <x v="0"/>
    <x v="18"/>
    <x v="2"/>
    <x v="151"/>
    <s v="Bánh Mandu Thịt và Bắp CJ Bibigo - Gói 1.505Kg - Thùng 9,03Kg"/>
    <s v="Gói"/>
    <n v="4"/>
    <n v="6.02"/>
    <d v="1899-12-31T12:07:12"/>
    <n v="44727"/>
    <s v="Rách      (QC đã kiểm tra ngoại quan vẫn có thể bán nội bộ,không lưu thông thị trường)"/>
    <n v="365600"/>
    <x v="0"/>
    <n v="4"/>
    <n v="365600"/>
    <x v="0"/>
    <x v="0"/>
  </r>
  <r>
    <x v="0"/>
    <x v="10"/>
    <n v="44527"/>
    <x v="0"/>
    <x v="0"/>
    <x v="18"/>
    <x v="2"/>
    <x v="151"/>
    <s v="Bánh Mandu Thịt và Bắp CJ Bibigo - Gói 1.505Kg - Thùng 9,03Kg"/>
    <s v="Gói"/>
    <n v="22"/>
    <n v="33.11"/>
    <d v="1899-12-31T12:07:12"/>
    <n v="44811"/>
    <s v="Rách      (QC đã kiểm tra ngoại quan vẫn có thể bán nội bộ,không lưu thông thị trường)"/>
    <n v="2010800"/>
    <x v="0"/>
    <n v="22"/>
    <n v="2010800"/>
    <x v="0"/>
    <x v="0"/>
  </r>
  <r>
    <x v="0"/>
    <x v="10"/>
    <n v="44527"/>
    <x v="0"/>
    <x v="0"/>
    <x v="18"/>
    <x v="2"/>
    <x v="151"/>
    <s v="Bánh Mandu Thịt và Bắp CJ Bibigo - Gói 1.505Kg - Thùng 9,03Kg"/>
    <s v="Gói"/>
    <n v="37"/>
    <n v="55.684999999999995"/>
    <d v="1899-12-31T12:07:12"/>
    <n v="44812"/>
    <s v="Rách      (QC đã kiểm tra ngoại quan vẫn có thể bán nội bộ,không lưu thông thị trường)"/>
    <n v="3381800"/>
    <x v="0"/>
    <n v="37"/>
    <n v="3381800"/>
    <x v="0"/>
    <x v="0"/>
  </r>
  <r>
    <x v="0"/>
    <x v="10"/>
    <n v="44527"/>
    <x v="0"/>
    <x v="0"/>
    <x v="18"/>
    <x v="2"/>
    <x v="151"/>
    <s v="Bánh Mandu Thịt và Bắp CJ Bibigo - Gói 1.505Kg - Thùng 9,03Kg"/>
    <s v="Gói"/>
    <n v="4"/>
    <n v="6.02"/>
    <d v="1899-12-31T12:07:12"/>
    <n v="44831"/>
    <s v="Rách      (QC đã kiểm tra ngoại quan vẫn có thể bán nội bộ,không lưu thông thị trường)"/>
    <n v="365600"/>
    <x v="0"/>
    <n v="4"/>
    <n v="365600"/>
    <x v="0"/>
    <x v="0"/>
  </r>
  <r>
    <x v="0"/>
    <x v="10"/>
    <n v="44527"/>
    <x v="0"/>
    <x v="0"/>
    <x v="18"/>
    <x v="2"/>
    <x v="144"/>
    <s v="Bánh Mandu Hải Sản CJ Bibigo - Gói 1.505Kg - Thùng 9,03Kg"/>
    <s v="Gói"/>
    <n v="9"/>
    <n v="13.544999999999998"/>
    <d v="1899-12-31T12:07:12"/>
    <n v="44622"/>
    <s v="Rách      (QC đã kiểm tra ngoại quan vẫn có thể bán nội bộ,không lưu thông thị trường)"/>
    <n v="813600"/>
    <x v="0"/>
    <n v="9"/>
    <n v="813600"/>
    <x v="0"/>
    <x v="0"/>
  </r>
  <r>
    <x v="0"/>
    <x v="10"/>
    <n v="44527"/>
    <x v="0"/>
    <x v="0"/>
    <x v="18"/>
    <x v="2"/>
    <x v="144"/>
    <s v="Bánh Mandu Hải Sản CJ Bibigo - Gói 1.505Kg - Thùng 9,03Kg"/>
    <s v="Gói"/>
    <n v="5"/>
    <n v="7.5250000000000004"/>
    <d v="1899-12-31T12:07:12"/>
    <n v="44622"/>
    <s v="Rách      (QC đã kiểm tra ngoại quan vẫn có thể bán nội bộ,không lưu thông thị trường)"/>
    <n v="452000"/>
    <x v="0"/>
    <n v="5"/>
    <n v="452000"/>
    <x v="0"/>
    <x v="0"/>
  </r>
  <r>
    <x v="0"/>
    <x v="10"/>
    <n v="44527"/>
    <x v="0"/>
    <x v="0"/>
    <x v="18"/>
    <x v="2"/>
    <x v="144"/>
    <s v="Bánh Mandu Hải Sản CJ Bibigo - Gói 1.505Kg - Thùng 9,03Kg"/>
    <s v="Gói"/>
    <n v="7"/>
    <n v="10.535"/>
    <d v="1899-12-31T12:07:12"/>
    <n v="44638"/>
    <s v="Rách      (QC đã kiểm tra ngoại quan vẫn có thể bán nội bộ,không lưu thông thị trường)"/>
    <n v="632800"/>
    <x v="0"/>
    <n v="7"/>
    <n v="632800"/>
    <x v="0"/>
    <x v="0"/>
  </r>
  <r>
    <x v="0"/>
    <x v="10"/>
    <n v="44527"/>
    <x v="0"/>
    <x v="0"/>
    <x v="18"/>
    <x v="2"/>
    <x v="144"/>
    <s v="Bánh Mandu Hải Sản CJ Bibigo - Gói 1.505Kg - Thùng 9,03Kg"/>
    <s v="Gói"/>
    <n v="1"/>
    <n v="1.5049999999999999"/>
    <d v="1899-12-31T12:07:12"/>
    <n v="44640"/>
    <s v="Rách      (QC đã kiểm tra ngoại quan vẫn có thể bán nội bộ,không lưu thông thị trường)"/>
    <n v="90400"/>
    <x v="0"/>
    <n v="1"/>
    <n v="90400"/>
    <x v="0"/>
    <x v="0"/>
  </r>
  <r>
    <x v="0"/>
    <x v="10"/>
    <n v="44527"/>
    <x v="0"/>
    <x v="0"/>
    <x v="18"/>
    <x v="2"/>
    <x v="144"/>
    <s v="Bánh Mandu Hải Sản CJ Bibigo - Gói 1.505Kg - Thùng 9,03Kg"/>
    <s v="Gói"/>
    <n v="2"/>
    <n v="3.01"/>
    <d v="1899-12-31T12:07:12"/>
    <n v="44789"/>
    <s v="Rách      (QC đã kiểm tra ngoại quan vẫn có thể bán nội bộ,không lưu thông thị trường)"/>
    <n v="180800"/>
    <x v="0"/>
    <n v="2"/>
    <n v="180800"/>
    <x v="0"/>
    <x v="0"/>
  </r>
  <r>
    <x v="0"/>
    <x v="10"/>
    <n v="44527"/>
    <x v="0"/>
    <x v="0"/>
    <x v="18"/>
    <x v="2"/>
    <x v="144"/>
    <s v="Bánh Mandu Hải Sản CJ Bibigo - Gói 1.505Kg - Thùng 9,03Kg"/>
    <s v="Gói"/>
    <n v="14"/>
    <n v="21.07"/>
    <d v="1899-12-31T12:07:12"/>
    <n v="44790"/>
    <s v="Rách      (QC đã kiểm tra ngoại quan vẫn có thể bán nội bộ,không lưu thông thị trường)"/>
    <n v="1265600"/>
    <x v="0"/>
    <n v="14"/>
    <n v="1265600"/>
    <x v="0"/>
    <x v="0"/>
  </r>
  <r>
    <x v="0"/>
    <x v="10"/>
    <n v="44527"/>
    <x v="0"/>
    <x v="0"/>
    <x v="18"/>
    <x v="2"/>
    <x v="106"/>
    <s v="Bánh Mini Mandu Thịt CJ Bibigo - gói 1.505kg- Thùng 9,03 kg"/>
    <s v="Gói"/>
    <n v="2"/>
    <n v="3.01"/>
    <d v="1899-12-31T12:07:12"/>
    <n v="44645"/>
    <s v="Rách      (QC đã kiểm tra ngoại quan vẫn có thể bán nội bộ,không lưu thông thị trường)"/>
    <n v="196000"/>
    <x v="0"/>
    <n v="2"/>
    <n v="196000"/>
    <x v="0"/>
    <x v="0"/>
  </r>
  <r>
    <x v="0"/>
    <x v="10"/>
    <n v="44527"/>
    <x v="0"/>
    <x v="0"/>
    <x v="18"/>
    <x v="2"/>
    <x v="106"/>
    <s v="Bánh Mini Mandu Thịt CJ Bibigo - gói 1.505kg- Thùng 9,03 kg"/>
    <s v="Gói"/>
    <n v="2"/>
    <n v="3.01"/>
    <d v="1899-12-31T12:07:12"/>
    <n v="44713"/>
    <s v="Rách      (QC đã kiểm tra ngoại quan vẫn có thể bán nội bộ,không lưu thông thị trường)"/>
    <n v="196000"/>
    <x v="0"/>
    <n v="2"/>
    <n v="196000"/>
    <x v="0"/>
    <x v="0"/>
  </r>
  <r>
    <x v="0"/>
    <x v="10"/>
    <n v="44527"/>
    <x v="0"/>
    <x v="0"/>
    <x v="18"/>
    <x v="2"/>
    <x v="168"/>
    <s v="Bánh Mandu Thịt CJ Bibigo – Gói 175g"/>
    <s v="Gói"/>
    <n v="3"/>
    <n v="0.52499999999999991"/>
    <d v="1899-12-30T04:12:00"/>
    <n v="44762"/>
    <s v="Rách      (QC đã kiểm tra ngoại quan vẫn có thể bán nội bộ,không lưu thông thị trường)"/>
    <n v="28500.002100000002"/>
    <x v="0"/>
    <n v="3"/>
    <n v="28500.002100000002"/>
    <x v="0"/>
    <x v="0"/>
  </r>
  <r>
    <x v="0"/>
    <x v="10"/>
    <n v="44527"/>
    <x v="0"/>
    <x v="0"/>
    <x v="18"/>
    <x v="2"/>
    <x v="168"/>
    <s v="Bánh Mandu Thịt CJ Bibigo – Gói 175g"/>
    <s v="Gói"/>
    <n v="4"/>
    <n v="0.7"/>
    <d v="1899-12-30T04:12:00"/>
    <n v="44789"/>
    <s v="Rách      (QC đã kiểm tra ngoại quan vẫn có thể bán nội bộ,không lưu thông thị trường)"/>
    <n v="38000.002800000002"/>
    <x v="0"/>
    <n v="4"/>
    <n v="38000.002800000002"/>
    <x v="0"/>
    <x v="0"/>
  </r>
  <r>
    <x v="0"/>
    <x v="10"/>
    <n v="44527"/>
    <x v="0"/>
    <x v="0"/>
    <x v="18"/>
    <x v="2"/>
    <x v="168"/>
    <s v="Bánh Mandu Thịt CJ Bibigo – Gói 175g"/>
    <s v="Gói"/>
    <n v="28"/>
    <n v="4.8999999999999995"/>
    <d v="1899-12-30T04:12:00"/>
    <n v="44810"/>
    <s v="Rách      (QC đã kiểm tra ngoại quan vẫn có thể bán nội bộ,không lưu thông thị trường)"/>
    <n v="266000.0196"/>
    <x v="0"/>
    <n v="28"/>
    <n v="266000.0196"/>
    <x v="0"/>
    <x v="0"/>
  </r>
  <r>
    <x v="0"/>
    <x v="10"/>
    <n v="44527"/>
    <x v="0"/>
    <x v="0"/>
    <x v="18"/>
    <x v="2"/>
    <x v="111"/>
    <s v="Bánh Mandu Thịt và Bắp CJ Bibigo – Gói 350g"/>
    <s v="Gói"/>
    <n v="1"/>
    <n v="0.35"/>
    <d v="1899-12-30T08:24:00"/>
    <n v="44671"/>
    <s v="Rách      (QC đã kiểm tra ngoại quan vẫn có thể bán nội bộ,không lưu thông thị trường)"/>
    <n v="21400.002499999999"/>
    <x v="0"/>
    <n v="1"/>
    <n v="21400.002499999999"/>
    <x v="0"/>
    <x v="0"/>
  </r>
  <r>
    <x v="0"/>
    <x v="10"/>
    <n v="44527"/>
    <x v="0"/>
    <x v="0"/>
    <x v="18"/>
    <x v="2"/>
    <x v="111"/>
    <s v="Bánh Mandu Thịt và Bắp CJ Bibigo – Gói 350g"/>
    <s v="Gói"/>
    <n v="1"/>
    <n v="0.35"/>
    <d v="1899-12-30T08:24:00"/>
    <n v="44727"/>
    <s v="Rách      (QC đã kiểm tra ngoại quan vẫn có thể bán nội bộ,không lưu thông thị trường)"/>
    <n v="21400.002499999999"/>
    <x v="0"/>
    <n v="1"/>
    <n v="21400.002499999999"/>
    <x v="0"/>
    <x v="0"/>
  </r>
  <r>
    <x v="0"/>
    <x v="10"/>
    <n v="44527"/>
    <x v="0"/>
    <x v="0"/>
    <x v="18"/>
    <x v="2"/>
    <x v="111"/>
    <s v="Bánh Mandu Thịt và Bắp CJ Bibigo – Gói 350g"/>
    <s v="Gói"/>
    <n v="1"/>
    <n v="0.35"/>
    <d v="1899-12-30T08:24:00"/>
    <n v="44812"/>
    <s v="Rách      (QC đã kiểm tra ngoại quan vẫn có thể bán nội bộ,không lưu thông thị trường)"/>
    <n v="21400.002499999999"/>
    <x v="0"/>
    <n v="1"/>
    <n v="21400.002499999999"/>
    <x v="0"/>
    <x v="0"/>
  </r>
  <r>
    <x v="0"/>
    <x v="10"/>
    <n v="44527"/>
    <x v="0"/>
    <x v="0"/>
    <x v="18"/>
    <x v="2"/>
    <x v="129"/>
    <s v="Bánh Mandu Hải Sản CJ Bibigo – Gói 175g"/>
    <s v="Gói"/>
    <n v="3"/>
    <n v="0.52499999999999991"/>
    <d v="1899-12-30T04:12:00"/>
    <n v="44629"/>
    <s v="Rách      (QC đã kiểm tra ngoại quan vẫn có thể bán nội bộ,không lưu thông thị trường)"/>
    <n v="33600.032100000004"/>
    <x v="0"/>
    <n v="3"/>
    <n v="33600.032100000004"/>
    <x v="0"/>
    <x v="0"/>
  </r>
  <r>
    <x v="0"/>
    <x v="10"/>
    <n v="44527"/>
    <x v="0"/>
    <x v="0"/>
    <x v="18"/>
    <x v="2"/>
    <x v="129"/>
    <s v="Bánh Mandu Hải Sản CJ Bibigo – Gói 175g"/>
    <s v="Gói"/>
    <n v="6"/>
    <n v="1.0499999999999998"/>
    <d v="1899-12-30T04:12:00"/>
    <n v="44630"/>
    <s v="Rách      (QC đã kiểm tra ngoại quan vẫn có thể bán nội bộ,không lưu thông thị trường)"/>
    <n v="67200.064200000008"/>
    <x v="0"/>
    <n v="6"/>
    <n v="67200.064200000008"/>
    <x v="0"/>
    <x v="0"/>
  </r>
  <r>
    <x v="0"/>
    <x v="10"/>
    <n v="44527"/>
    <x v="0"/>
    <x v="0"/>
    <x v="18"/>
    <x v="2"/>
    <x v="129"/>
    <s v="Bánh Mandu Hải Sản CJ Bibigo – Gói 175g"/>
    <s v="Gói"/>
    <n v="1"/>
    <n v="0.17499999999999999"/>
    <d v="1899-12-30T04:12:00"/>
    <n v="44637"/>
    <s v="Rách      (QC đã kiểm tra ngoại quan vẫn có thể bán nội bộ,không lưu thông thị trường)"/>
    <n v="11200.010700000001"/>
    <x v="0"/>
    <n v="1"/>
    <n v="11200.010700000001"/>
    <x v="0"/>
    <x v="0"/>
  </r>
  <r>
    <x v="0"/>
    <x v="10"/>
    <n v="44527"/>
    <x v="0"/>
    <x v="0"/>
    <x v="18"/>
    <x v="2"/>
    <x v="129"/>
    <s v="Bánh Mandu Hải Sản CJ Bibigo – Gói 175g"/>
    <s v="Gói"/>
    <n v="1"/>
    <n v="0.17499999999999999"/>
    <d v="1899-12-30T04:12:00"/>
    <n v="44726"/>
    <s v="Rách      (QC đã kiểm tra ngoại quan vẫn có thể bán nội bộ,không lưu thông thị trường)"/>
    <n v="11200.010700000001"/>
    <x v="0"/>
    <n v="1"/>
    <n v="11200.010700000001"/>
    <x v="0"/>
    <x v="0"/>
  </r>
  <r>
    <x v="0"/>
    <x v="10"/>
    <n v="44527"/>
    <x v="0"/>
    <x v="0"/>
    <x v="18"/>
    <x v="2"/>
    <x v="129"/>
    <s v="Bánh Mandu Hải Sản CJ Bibigo – Gói 175g"/>
    <s v="Gói"/>
    <n v="1"/>
    <n v="0.17499999999999999"/>
    <d v="1899-12-30T04:12:00"/>
    <n v="44764"/>
    <s v="Rách      (QC đã kiểm tra ngoại quan vẫn có thể bán nội bộ,không lưu thông thị trường)"/>
    <n v="11200.010700000001"/>
    <x v="0"/>
    <n v="1"/>
    <n v="11200.010700000001"/>
    <x v="0"/>
    <x v="0"/>
  </r>
  <r>
    <x v="0"/>
    <x v="10"/>
    <n v="44527"/>
    <x v="0"/>
    <x v="0"/>
    <x v="18"/>
    <x v="2"/>
    <x v="129"/>
    <s v="Bánh Mandu Hải Sản CJ Bibigo – Gói 175g"/>
    <s v="Gói"/>
    <n v="2"/>
    <n v="0.35"/>
    <d v="1899-12-30T04:12:00"/>
    <n v="44790"/>
    <s v="Rách      (QC đã kiểm tra ngoại quan vẫn có thể bán nội bộ,không lưu thông thị trường)"/>
    <n v="22400.021400000001"/>
    <x v="0"/>
    <n v="2"/>
    <n v="22400.021400000001"/>
    <x v="0"/>
    <x v="0"/>
  </r>
  <r>
    <x v="0"/>
    <x v="10"/>
    <n v="44527"/>
    <x v="0"/>
    <x v="0"/>
    <x v="18"/>
    <x v="2"/>
    <x v="129"/>
    <s v="Bánh Mandu Hải Sản CJ Bibigo – Gói 175g"/>
    <s v="Gói"/>
    <n v="1"/>
    <n v="0.17499999999999999"/>
    <d v="1899-12-30T04:12:00"/>
    <n v="44791"/>
    <s v="Rách      (QC đã kiểm tra ngoại quan vẫn có thể bán nội bộ,không lưu thông thị trường)"/>
    <n v="11200.010700000001"/>
    <x v="0"/>
    <n v="1"/>
    <n v="11200.010700000001"/>
    <x v="0"/>
    <x v="0"/>
  </r>
  <r>
    <x v="0"/>
    <x v="10"/>
    <n v="44527"/>
    <x v="0"/>
    <x v="0"/>
    <x v="18"/>
    <x v="2"/>
    <x v="129"/>
    <s v="Bánh Mandu Hải Sản CJ Bibigo – Gói 175g"/>
    <s v="Gói"/>
    <n v="2"/>
    <n v="0.35"/>
    <d v="1899-12-30T04:12:00"/>
    <n v="44813"/>
    <s v="Rách      (QC đã kiểm tra ngoại quan vẫn có thể bán nội bộ,không lưu thông thị trường)"/>
    <n v="22400.021400000001"/>
    <x v="0"/>
    <n v="2"/>
    <n v="22400.021400000001"/>
    <x v="0"/>
    <x v="0"/>
  </r>
  <r>
    <x v="0"/>
    <x v="10"/>
    <n v="44527"/>
    <x v="0"/>
    <x v="0"/>
    <x v="18"/>
    <x v="2"/>
    <x v="129"/>
    <s v="Bánh Mandu Hải Sản CJ Bibigo – Gói 175g"/>
    <s v="Gói"/>
    <n v="2"/>
    <n v="0.35"/>
    <d v="1899-12-30T04:12:00"/>
    <n v="44846"/>
    <s v="Rách      (QC đã kiểm tra ngoại quan vẫn có thể bán nội bộ,không lưu thông thị trường)"/>
    <n v="22400.021400000001"/>
    <x v="0"/>
    <n v="2"/>
    <n v="22400.021400000001"/>
    <x v="0"/>
    <x v="0"/>
  </r>
  <r>
    <x v="0"/>
    <x v="10"/>
    <n v="44527"/>
    <x v="0"/>
    <x v="0"/>
    <x v="18"/>
    <x v="2"/>
    <x v="129"/>
    <s v="Bánh Mandu Hải Sản CJ Bibigo – Gói 175g"/>
    <s v="Gói"/>
    <n v="1"/>
    <n v="0.17499999999999999"/>
    <d v="1899-12-30T04:12:00"/>
    <n v="44876"/>
    <s v="Rách      (QC đã kiểm tra ngoại quan vẫn có thể bán nội bộ,không lưu thông thị trường)"/>
    <n v="11200.010700000001"/>
    <x v="0"/>
    <n v="1"/>
    <n v="11200.010700000001"/>
    <x v="0"/>
    <x v="0"/>
  </r>
  <r>
    <x v="0"/>
    <x v="10"/>
    <n v="44530"/>
    <x v="3"/>
    <x v="0"/>
    <x v="21"/>
    <x v="2"/>
    <x v="65"/>
    <s v="Đậu hũ chiên Ông Kim's 350gr"/>
    <s v="Bịch"/>
    <n v="381"/>
    <n v="133.35"/>
    <d v="1899-12-30T08:24:00"/>
    <n v="44543"/>
    <s v="Low sales"/>
    <n v="1219200"/>
    <x v="0"/>
    <n v="0"/>
    <n v="0"/>
    <x v="0"/>
    <x v="0"/>
  </r>
  <r>
    <x v="0"/>
    <x v="10"/>
    <n v="44530"/>
    <x v="3"/>
    <x v="0"/>
    <x v="21"/>
    <x v="2"/>
    <x v="66"/>
    <s v="Đậu hũ miếng Bibigo Ông Kim's 250gr"/>
    <s v="Hộp"/>
    <n v="15"/>
    <n v="3.75"/>
    <d v="1899-12-30T06:00:00"/>
    <n v="44543"/>
    <s v="Low sales"/>
    <n v="16500"/>
    <x v="0"/>
    <n v="0"/>
    <n v="0"/>
    <x v="0"/>
    <x v="0"/>
  </r>
  <r>
    <x v="0"/>
    <x v="10"/>
    <n v="44530"/>
    <x v="3"/>
    <x v="0"/>
    <x v="21"/>
    <x v="2"/>
    <x v="107"/>
    <s v="Đậu hũ non Bibigo Ông Kim's 250gr"/>
    <s v="Hộp"/>
    <n v="25"/>
    <n v="6.25"/>
    <d v="1899-12-30T06:00:00"/>
    <n v="44543"/>
    <s v="Low sales"/>
    <n v="35000"/>
    <x v="0"/>
    <n v="0"/>
    <n v="0"/>
    <x v="0"/>
    <x v="0"/>
  </r>
  <r>
    <x v="0"/>
    <x v="10"/>
    <n v="44530"/>
    <x v="5"/>
    <x v="0"/>
    <x v="24"/>
    <x v="2"/>
    <x v="33"/>
    <s v="Chả lụa quết nhất phẩm – 200G"/>
    <s v="Gói"/>
    <n v="2785"/>
    <n v="557"/>
    <d v="1899-12-30T04:48:00"/>
    <n v="44561"/>
    <s v="Low sales"/>
    <n v="5291500"/>
    <x v="0"/>
    <n v="0"/>
    <n v="0"/>
    <x v="0"/>
    <x v="0"/>
  </r>
  <r>
    <x v="0"/>
    <x v="10"/>
    <n v="44530"/>
    <x v="5"/>
    <x v="0"/>
    <x v="24"/>
    <x v="2"/>
    <x v="33"/>
    <s v="Chả lụa quết nhất phẩm – 200G"/>
    <s v="Gói"/>
    <n v="1814"/>
    <n v="362.8"/>
    <d v="1899-12-30T04:48:00"/>
    <n v="44566"/>
    <s v="Low sales"/>
    <n v="3446600"/>
    <x v="0"/>
    <n v="0"/>
    <n v="0"/>
    <x v="0"/>
    <x v="0"/>
  </r>
  <r>
    <x v="0"/>
    <x v="10"/>
    <n v="44530"/>
    <x v="5"/>
    <x v="0"/>
    <x v="39"/>
    <x v="2"/>
    <x v="169"/>
    <s v="Ohya Thanh Thịt Nướng Xốt Bulgogi 35g"/>
    <s v="Gói"/>
    <n v="62"/>
    <n v="2.1700000000000004"/>
    <d v="1899-12-30T00:50:24"/>
    <n v="44556"/>
    <s v="Low sales"/>
    <n v="204600"/>
    <x v="0"/>
    <n v="30"/>
    <n v="99000"/>
    <x v="0"/>
    <x v="0"/>
  </r>
  <r>
    <x v="0"/>
    <x v="11"/>
    <n v="44532"/>
    <x v="5"/>
    <x v="0"/>
    <x v="40"/>
    <x v="1"/>
    <x v="84"/>
    <s v="Xúc xích heo vị Mexico (mini) hiệu REAL Gói 200g"/>
    <s v="GOI"/>
    <n v="746"/>
    <n v="149.20000000000002"/>
    <d v="1899-12-30T04:48:00"/>
    <n v="44206"/>
    <s v="mixed with pieces of tiny bones"/>
    <n v="5371200.8206000011"/>
    <x v="0"/>
    <n v="740"/>
    <n v="5328000.8140000012"/>
    <x v="0"/>
    <x v="0"/>
  </r>
  <r>
    <x v="0"/>
    <x v="11"/>
    <n v="44532"/>
    <x v="5"/>
    <x v="0"/>
    <x v="40"/>
    <x v="1"/>
    <x v="77"/>
    <s v="Xúc xích heo vị Mexico hiệu REAL 200g"/>
    <s v="GOI"/>
    <n v="824"/>
    <n v="164.8"/>
    <d v="1899-12-30T04:48:00"/>
    <n v="44206"/>
    <s v="mixed with pieces of tiny bones"/>
    <n v="6097600"/>
    <x v="0"/>
    <n v="818"/>
    <n v="6053200"/>
    <x v="0"/>
    <x v="0"/>
  </r>
  <r>
    <x v="0"/>
    <x v="11"/>
    <n v="44545"/>
    <x v="3"/>
    <x v="0"/>
    <x v="12"/>
    <x v="0"/>
    <x v="5"/>
    <s v="Bibigo Kimchi cải thảo cây 1kg"/>
    <s v="Túi"/>
    <n v="6"/>
    <n v="6"/>
    <d v="1899-12-31T00:00:00"/>
    <n v="44569"/>
    <s v="Mờ date- Giao hàng phát hiện"/>
    <n v="135685.62"/>
    <x v="0"/>
    <n v="6"/>
    <n v="135685.62"/>
    <x v="0"/>
    <x v="0"/>
  </r>
  <r>
    <x v="0"/>
    <x v="11"/>
    <n v="44545"/>
    <x v="0"/>
    <x v="0"/>
    <x v="18"/>
    <x v="0"/>
    <x v="62"/>
    <s v="Bánh Mandu Thịt CJ Bibigo - gói 1.505kg- Thùng 9,03 kg"/>
    <s v="Gói"/>
    <n v="59"/>
    <n v="88.794999999999987"/>
    <d v="1899-12-31T12:07:12"/>
    <n v="44645"/>
    <s v="Lỗi rách to 4, nhỏ 55-Dán tem lọc hàng phát hiện"/>
    <n v="5372284.4651000006"/>
    <x v="0"/>
    <n v="59"/>
    <n v="5372284.4651000006"/>
    <x v="0"/>
    <x v="0"/>
  </r>
  <r>
    <x v="0"/>
    <x v="11"/>
    <n v="44545"/>
    <x v="0"/>
    <x v="0"/>
    <x v="18"/>
    <x v="0"/>
    <x v="62"/>
    <s v="Bánh Mandu Thịt CJ Bibigo - gói 1.505kg- Thùng 9,03 kg"/>
    <s v="Gói"/>
    <n v="31"/>
    <n v="46.654999999999994"/>
    <d v="1899-12-31T12:07:12"/>
    <n v="44762"/>
    <s v="Lỗi rách nhỏ 65, rách to 12- Lọc hàng phát hiện"/>
    <n v="1923725.7359"/>
    <x v="0"/>
    <n v="31"/>
    <n v="1923725.7359"/>
    <x v="0"/>
    <x v="0"/>
  </r>
  <r>
    <x v="0"/>
    <x v="11"/>
    <n v="44545"/>
    <x v="0"/>
    <x v="0"/>
    <x v="18"/>
    <x v="0"/>
    <x v="62"/>
    <s v="Bánh Mandu Thịt CJ Bibigo - gói 1.505kg- Thùng 9,03 kg"/>
    <s v="Gói"/>
    <n v="193"/>
    <n v="290.46499999999997"/>
    <d v="1899-12-31T12:07:12"/>
    <n v="44789"/>
    <s v="rách to 77, rách nhỏ 116- Lọc hàng phát hiện"/>
    <n v="11976744.097700002"/>
    <x v="0"/>
    <n v="193"/>
    <n v="11976744.097700002"/>
    <x v="0"/>
    <x v="0"/>
  </r>
  <r>
    <x v="0"/>
    <x v="11"/>
    <n v="44545"/>
    <x v="0"/>
    <x v="0"/>
    <x v="18"/>
    <x v="0"/>
    <x v="62"/>
    <s v="Bánh Mandu Thịt CJ Bibigo - gói 1.505kg- Thùng 9,03 kg"/>
    <s v="Gói"/>
    <n v="87"/>
    <n v="130.935"/>
    <d v="1899-12-31T12:07:12"/>
    <n v="44789"/>
    <s v="rách to 15 gói, rách nhỏ 72 gói- Lọc hàng phát hiện"/>
    <n v="5398843.1943000006"/>
    <x v="0"/>
    <n v="87"/>
    <n v="5398843.1943000006"/>
    <x v="0"/>
    <x v="0"/>
  </r>
  <r>
    <x v="0"/>
    <x v="11"/>
    <n v="44545"/>
    <x v="0"/>
    <x v="0"/>
    <x v="18"/>
    <x v="0"/>
    <x v="62"/>
    <s v="Bánh Mandu Thịt CJ Bibigo - gói 1.505kg- Thùng 9,03 kg"/>
    <s v="Gói"/>
    <n v="69"/>
    <n v="103.845"/>
    <d v="1899-12-31T12:07:12"/>
    <n v="44790"/>
    <s v="rách to 43, rách nhỏ 26- Lọc hàng phát hiện"/>
    <n v="4281841.1540999999"/>
    <x v="0"/>
    <n v="69"/>
    <n v="4281841.1540999999"/>
    <x v="0"/>
    <x v="0"/>
  </r>
  <r>
    <x v="0"/>
    <x v="11"/>
    <n v="44545"/>
    <x v="0"/>
    <x v="0"/>
    <x v="18"/>
    <x v="0"/>
    <x v="62"/>
    <s v="Bánh Mandu Thịt CJ Bibigo - gói 1.505kg- Thùng 9,03 kg"/>
    <s v="Gói"/>
    <n v="58"/>
    <n v="87.29"/>
    <d v="1899-12-31T12:07:12"/>
    <n v="44790"/>
    <s v="rách to 39 gói , rách nhỏ 19 gói- Lọc hàng phát hiện"/>
    <n v="3599228.7962000002"/>
    <x v="0"/>
    <n v="58"/>
    <n v="3599228.7962000002"/>
    <x v="0"/>
    <x v="0"/>
  </r>
  <r>
    <x v="0"/>
    <x v="11"/>
    <n v="44545"/>
    <x v="0"/>
    <x v="0"/>
    <x v="18"/>
    <x v="0"/>
    <x v="151"/>
    <s v="Bánh Mandu Thịt và Bắp  CJ Bibigo -Gói 1.505Kg -Thùng 9.03Kg"/>
    <s v="Gói"/>
    <n v="12"/>
    <n v="18.059999999999999"/>
    <d v="1899-12-31T12:07:12"/>
    <n v="44670"/>
    <s v="Lỗi rách to 3, nhỏ 9-Dán tem lọc hàng phát hiện"/>
    <n v="1108800.0072000001"/>
    <x v="0"/>
    <n v="12"/>
    <n v="1108800.0072000001"/>
    <x v="0"/>
    <x v="0"/>
  </r>
  <r>
    <x v="0"/>
    <x v="11"/>
    <n v="44545"/>
    <x v="0"/>
    <x v="0"/>
    <x v="18"/>
    <x v="0"/>
    <x v="151"/>
    <s v="Bánh Mandu Thịt và Bắp CJ Bibigo - Gói 1.505Kg - Thùng 9,03Kg"/>
    <s v="Gói"/>
    <n v="46"/>
    <n v="69.22999999999999"/>
    <d v="1899-12-31T12:07:12"/>
    <n v="44727"/>
    <s v="rách to 27, rách nhỏ 19- Lọc hàng phát hiện"/>
    <n v="2916400.0276000001"/>
    <x v="0"/>
    <n v="46"/>
    <n v="2916400.0276000001"/>
    <x v="0"/>
    <x v="0"/>
  </r>
  <r>
    <x v="0"/>
    <x v="11"/>
    <n v="44545"/>
    <x v="0"/>
    <x v="0"/>
    <x v="18"/>
    <x v="0"/>
    <x v="151"/>
    <s v="Bánh Mandu Thịt và Bắp CJ Bibigo - Gói 1.505Kg - Thùng 9,03Kg"/>
    <s v="Gói"/>
    <n v="1"/>
    <n v="1.5049999999999999"/>
    <d v="1899-12-31T12:07:12"/>
    <n v="44811"/>
    <s v="Lỗi rách- Giao hàng phát hiện"/>
    <n v="63400.000599999999"/>
    <x v="0"/>
    <n v="1"/>
    <n v="63400.000599999999"/>
    <x v="0"/>
    <x v="0"/>
  </r>
  <r>
    <x v="0"/>
    <x v="11"/>
    <n v="44545"/>
    <x v="0"/>
    <x v="0"/>
    <x v="18"/>
    <x v="0"/>
    <x v="151"/>
    <s v="Bánh Mandu Thịt và Bắp CJ Bibigo - Gói 1.505Kg - Thùng 9,03Kg"/>
    <s v="Gói"/>
    <n v="27"/>
    <n v="40.634999999999998"/>
    <d v="1899-12-31T12:07:12"/>
    <n v="44812"/>
    <s v="rách to 21, rách nhỏ 6- Lọc hàng phát hiện"/>
    <n v="1711800.0162"/>
    <x v="0"/>
    <n v="27"/>
    <n v="1711800.0162"/>
    <x v="0"/>
    <x v="0"/>
  </r>
  <r>
    <x v="0"/>
    <x v="11"/>
    <n v="44545"/>
    <x v="0"/>
    <x v="0"/>
    <x v="18"/>
    <x v="0"/>
    <x v="151"/>
    <s v="Bánh Mandu Thịt và Bắp CJ Bibigo - Gói 1.505Kg - Thùng 9,03Kg"/>
    <s v="Gói"/>
    <n v="41"/>
    <n v="61.704999999999998"/>
    <d v="1899-12-31T12:07:12"/>
    <n v="44812"/>
    <s v="rách to 7 gói, rách nhỏ 34 gói- Lọc hàng phát hiện"/>
    <n v="2599400.0246000001"/>
    <x v="0"/>
    <n v="41"/>
    <n v="2599400.0246000001"/>
    <x v="0"/>
    <x v="0"/>
  </r>
  <r>
    <x v="0"/>
    <x v="11"/>
    <n v="44545"/>
    <x v="0"/>
    <x v="0"/>
    <x v="18"/>
    <x v="0"/>
    <x v="144"/>
    <s v="Bánh Mandu Hải Sản  CJ Bibigo -Gói 1.505Kg -Thùng 9.03Kg"/>
    <s v="Gói"/>
    <n v="13"/>
    <n v="19.565000000000001"/>
    <d v="1899-12-31T12:07:12"/>
    <n v="44638"/>
    <s v="Lỗi rách to 6, nhỏ 7-Dán tem lọc hàng phát hiện"/>
    <n v="1188200"/>
    <x v="0"/>
    <n v="13"/>
    <n v="1188200"/>
    <x v="0"/>
    <x v="0"/>
  </r>
  <r>
    <x v="0"/>
    <x v="11"/>
    <n v="44545"/>
    <x v="5"/>
    <x v="0"/>
    <x v="16"/>
    <x v="2"/>
    <x v="157"/>
    <s v="Cá viên rau củ hải sản AB 500g 160 viên/kg"/>
    <s v="Kg"/>
    <n v="1"/>
    <n v="1"/>
    <d v="1899-12-31T00:00:00"/>
    <n v="44748"/>
    <s v="Low sell and Raised internal sale e-approval 09/11/2021"/>
    <n v="30400"/>
    <x v="0"/>
    <n v="1"/>
    <n v="30400"/>
    <x v="0"/>
    <x v="0"/>
  </r>
  <r>
    <x v="0"/>
    <x v="11"/>
    <n v="44545"/>
    <x v="3"/>
    <x v="0"/>
    <x v="12"/>
    <x v="2"/>
    <x v="65"/>
    <s v="Đậu hũ chiên Ông Kim's 350gr"/>
    <s v="Hộp"/>
    <n v="81"/>
    <n v="28.35"/>
    <d v="1899-12-30T08:24:00"/>
    <n v="44550"/>
    <s v="Low selling"/>
    <n v="907200"/>
    <x v="0"/>
    <n v="0"/>
    <n v="0"/>
    <x v="0"/>
    <x v="0"/>
  </r>
  <r>
    <x v="0"/>
    <x v="11"/>
    <n v="44545"/>
    <x v="3"/>
    <x v="0"/>
    <x v="21"/>
    <x v="2"/>
    <x v="66"/>
    <s v="Đậu hũ miếng Bibigo Ông Kim's 250gr"/>
    <s v="Hộp"/>
    <n v="40"/>
    <n v="10"/>
    <d v="1899-12-30T06:00:00"/>
    <n v="44550"/>
    <s v="Low selling"/>
    <n v="244000"/>
    <x v="0"/>
    <n v="40"/>
    <n v="244000"/>
    <x v="0"/>
    <x v="0"/>
  </r>
  <r>
    <x v="0"/>
    <x v="11"/>
    <n v="44545"/>
    <x v="2"/>
    <x v="0"/>
    <x v="36"/>
    <x v="2"/>
    <x v="7"/>
    <s v="Nước Uống Collagen Innerb Glowshot ((50ML*6EA)*10EA/CT)"/>
    <s v="Hộp"/>
    <n v="11"/>
    <n v="3.3"/>
    <d v="1899-12-30T07:12:00"/>
    <n v="44615"/>
    <s v="Cover quality issue and Raised internal sale e-approval 02/11/2021"/>
    <n v="592078.51339999994"/>
    <x v="0"/>
    <n v="11"/>
    <n v="592078.51339999994"/>
    <x v="0"/>
    <x v="0"/>
  </r>
  <r>
    <x v="0"/>
    <x v="11"/>
    <n v="44545"/>
    <x v="2"/>
    <x v="0"/>
    <x v="36"/>
    <x v="2"/>
    <x v="7"/>
    <s v="Nước Uống Collagen Innerb Glowshot ((50ML*6EA)*10EA/CT)"/>
    <s v="Hộp"/>
    <n v="2"/>
    <n v="0.6"/>
    <d v="1899-12-30T07:12:00"/>
    <n v="44644"/>
    <s v="Return order and Raised internal sale e-approval 15/11/2021"/>
    <n v="107650.6388"/>
    <x v="0"/>
    <n v="2"/>
    <n v="107650.6388"/>
    <x v="0"/>
    <x v="0"/>
  </r>
  <r>
    <x v="0"/>
    <x v="11"/>
    <n v="44545"/>
    <x v="0"/>
    <x v="0"/>
    <x v="18"/>
    <x v="2"/>
    <x v="134"/>
    <s v="Bánh Mandu Thịt và Bắp CJ Bibigo – Gói 350g (GT)"/>
    <s v="Gói"/>
    <n v="7"/>
    <n v="2.4499999999999997"/>
    <d v="1899-12-30T08:24:00"/>
    <n v="44631"/>
    <s v="Return order"/>
    <n v="144200"/>
    <x v="0"/>
    <n v="7"/>
    <n v="144200"/>
    <x v="0"/>
    <x v="0"/>
  </r>
  <r>
    <x v="0"/>
    <x v="11"/>
    <n v="44545"/>
    <x v="0"/>
    <x v="0"/>
    <x v="18"/>
    <x v="2"/>
    <x v="134"/>
    <s v="Bánh Mandu Thịt và Bắp CJ Bibigo – Gói 350g (GT)"/>
    <s v="Gói"/>
    <n v="108"/>
    <n v="37.799999999999997"/>
    <d v="1899-12-30T08:24:00"/>
    <n v="44632"/>
    <s v="Return order and Raised internal sale e-approval 23/09/2021"/>
    <n v="2224800"/>
    <x v="0"/>
    <n v="150"/>
    <n v="3090000"/>
    <x v="0"/>
    <x v="0"/>
  </r>
  <r>
    <x v="0"/>
    <x v="11"/>
    <n v="44545"/>
    <x v="0"/>
    <x v="0"/>
    <x v="18"/>
    <x v="2"/>
    <x v="134"/>
    <s v="Bánh Mandu Thịt và Bắp CJ Bibigo – Gói 350g (GT)"/>
    <s v="Gói"/>
    <n v="2"/>
    <n v="0.7"/>
    <d v="1899-12-30T08:24:00"/>
    <n v="44671"/>
    <s v="Return order and Raised internal sale e-approval 23/09/2021"/>
    <n v="25200"/>
    <x v="0"/>
    <n v="6"/>
    <n v="75600"/>
    <x v="0"/>
    <x v="0"/>
  </r>
  <r>
    <x v="0"/>
    <x v="11"/>
    <n v="44545"/>
    <x v="0"/>
    <x v="0"/>
    <x v="18"/>
    <x v="2"/>
    <x v="134"/>
    <s v="Bánh Mandu Thịt và Bắp CJ Bibigo – Gói 350g (GT)"/>
    <s v="Gói"/>
    <n v="39"/>
    <n v="13.65"/>
    <d v="1899-12-30T08:24:00"/>
    <n v="44727"/>
    <s v="Low selling"/>
    <n v="491400"/>
    <x v="0"/>
    <n v="39"/>
    <n v="491400"/>
    <x v="0"/>
    <x v="0"/>
  </r>
  <r>
    <x v="0"/>
    <x v="11"/>
    <n v="44545"/>
    <x v="5"/>
    <x v="0"/>
    <x v="24"/>
    <x v="2"/>
    <x v="33"/>
    <s v="Chả lụa quết nhất phẩm – 200G"/>
    <s v="Gói"/>
    <n v="2403"/>
    <n v="480.6"/>
    <d v="1899-12-30T04:48:00"/>
    <n v="44561"/>
    <s v="Low sell and Raised internal sale e-approval 30/11/2021"/>
    <n v="45416700"/>
    <x v="0"/>
    <n v="1115"/>
    <n v="21073500"/>
    <x v="0"/>
    <x v="0"/>
  </r>
  <r>
    <x v="0"/>
    <x v="11"/>
    <n v="44545"/>
    <x v="5"/>
    <x v="0"/>
    <x v="24"/>
    <x v="2"/>
    <x v="33"/>
    <s v="Chả lụa quết nhất phẩm – 200G"/>
    <s v="Gói"/>
    <n v="1830"/>
    <n v="366"/>
    <d v="1899-12-30T04:48:00"/>
    <n v="44566"/>
    <s v="Low sell and Raised internal sale e-approval 30/11/2021"/>
    <n v="21777000"/>
    <x v="0"/>
    <n v="0"/>
    <n v="0"/>
    <x v="0"/>
    <x v="0"/>
  </r>
  <r>
    <x v="0"/>
    <x v="11"/>
    <n v="44545"/>
    <x v="5"/>
    <x v="0"/>
    <x v="24"/>
    <x v="2"/>
    <x v="33"/>
    <s v="Chả lụa quết nhất phẩm – 200G"/>
    <s v="Gói"/>
    <n v="680"/>
    <n v="136"/>
    <d v="1899-12-30T04:48:00"/>
    <n v="44571"/>
    <s v="Low selling"/>
    <n v="8092000"/>
    <x v="0"/>
    <n v="0"/>
    <n v="0"/>
    <x v="0"/>
    <x v="0"/>
  </r>
  <r>
    <x v="0"/>
    <x v="11"/>
    <n v="44545"/>
    <x v="5"/>
    <x v="0"/>
    <x v="24"/>
    <x v="2"/>
    <x v="9"/>
    <s v="Chả Lụa Quết Thượng Hạng 500g (mát)"/>
    <s v="Gói"/>
    <n v="402"/>
    <n v="201"/>
    <d v="1899-12-30T12:00:00"/>
    <n v="44581"/>
    <s v="Low selling"/>
    <n v="13788600.2412"/>
    <x v="0"/>
    <n v="402"/>
    <n v="13788600.2412"/>
    <x v="0"/>
    <x v="0"/>
  </r>
  <r>
    <x v="0"/>
    <x v="11"/>
    <n v="44545"/>
    <x v="6"/>
    <x v="0"/>
    <x v="8"/>
    <x v="2"/>
    <x v="28"/>
    <s v="Snack Rong biển Bibigo vị Bắp Mật Ong 25gr"/>
    <s v="Gói"/>
    <n v="480"/>
    <n v="12"/>
    <d v="1899-12-30T00:36:00"/>
    <n v="44585"/>
    <s v="Low selling"/>
    <n v="4511990.6880000001"/>
    <x v="0"/>
    <n v="480"/>
    <n v="4511990.6880000001"/>
    <x v="0"/>
    <x v="0"/>
  </r>
  <r>
    <x v="0"/>
    <x v="11"/>
    <n v="44546"/>
    <x v="1"/>
    <x v="0"/>
    <x v="29"/>
    <x v="1"/>
    <x v="170"/>
    <s v="BÚN KHÔ"/>
    <s v="KG "/>
    <n v="105"/>
    <n v="105"/>
    <d v="1899-12-31T00:00:00"/>
    <n v="44849"/>
    <s v="material remain after application of new formulation"/>
    <n v="1574405.0000000002"/>
    <x v="0"/>
    <n v="105"/>
    <n v="1574405.0000000002"/>
    <x v="0"/>
    <x v="0"/>
  </r>
  <r>
    <x v="0"/>
    <x v="11"/>
    <n v="44550"/>
    <x v="3"/>
    <x v="0"/>
    <x v="21"/>
    <x v="2"/>
    <x v="65"/>
    <s v="Đậu hũ chiên Ông Kim's 350gr"/>
    <s v="Hộp"/>
    <n v="81"/>
    <n v="28.35"/>
    <d v="1899-12-30T08:24:00"/>
    <n v="44550"/>
    <s v="Low selling"/>
    <n v="907200"/>
    <x v="2"/>
    <n v="0"/>
    <n v="0"/>
    <x v="0"/>
    <x v="0"/>
  </r>
  <r>
    <x v="0"/>
    <x v="11"/>
    <n v="44550"/>
    <x v="3"/>
    <x v="0"/>
    <x v="21"/>
    <x v="2"/>
    <x v="66"/>
    <s v="Đậu hũ miếng Bibigo Ông Kim's 250gr"/>
    <s v="Hộp"/>
    <n v="40"/>
    <n v="10"/>
    <d v="1899-12-30T06:00:00"/>
    <n v="44550"/>
    <s v="Low selling"/>
    <n v="244000"/>
    <x v="2"/>
    <n v="0"/>
    <n v="0"/>
    <x v="0"/>
    <x v="0"/>
  </r>
  <r>
    <x v="0"/>
    <x v="11"/>
    <n v="44551"/>
    <x v="8"/>
    <x v="1"/>
    <x v="22"/>
    <x v="1"/>
    <x v="75"/>
    <s v="Mực Nang size 8-12 BTP"/>
    <s v="Kg"/>
    <n v="1456"/>
    <n v="1456"/>
    <d v="1899-12-31T00:00:00"/>
    <n v="44561"/>
    <s v="Delay production Mandu to Jan'22, release stock in Tan Phu"/>
    <n v="155078231.07740915"/>
    <x v="0"/>
    <n v="1456"/>
    <n v="155078231.07740915"/>
    <x v="0"/>
    <x v="0"/>
  </r>
  <r>
    <x v="0"/>
    <x v="11"/>
    <n v="44551"/>
    <x v="1"/>
    <x v="0"/>
    <x v="41"/>
    <x v="2"/>
    <x v="171"/>
    <s v="(HETBAHN) Cơm ăn liền 210G *3"/>
    <s v="Lốc"/>
    <n v="1"/>
    <n v="0.63"/>
    <d v="1899-12-30T15:07:12"/>
    <n v="44672"/>
    <s v="Low sell"/>
    <n v="16805"/>
    <x v="0"/>
    <n v="1"/>
    <n v="16805"/>
    <x v="0"/>
    <x v="0"/>
  </r>
  <r>
    <x v="0"/>
    <x v="11"/>
    <n v="44551"/>
    <x v="4"/>
    <x v="0"/>
    <x v="32"/>
    <x v="2"/>
    <x v="172"/>
    <s v="Tương đậu truyền thống (HỘP) 500G"/>
    <s v="Bao"/>
    <n v="16"/>
    <n v="8"/>
    <d v="1899-12-30T12:00:00"/>
    <n v="44733"/>
    <s v="Low sell"/>
    <n v="145700"/>
    <x v="0"/>
    <n v="0"/>
    <n v="0"/>
    <x v="0"/>
    <x v="0"/>
  </r>
  <r>
    <x v="0"/>
    <x v="11"/>
    <n v="44551"/>
    <x v="5"/>
    <x v="0"/>
    <x v="16"/>
    <x v="2"/>
    <x v="173"/>
    <s v="Bò Viên Cầu Tre Gói 400gr (Hàng mát)"/>
    <s v="Túi"/>
    <n v="1"/>
    <n v="0.4"/>
    <d v="1899-12-30T09:36:00"/>
    <n v="44586"/>
    <s v="Low sell"/>
    <n v="18100"/>
    <x v="0"/>
    <n v="0"/>
    <n v="0"/>
    <x v="0"/>
    <x v="0"/>
  </r>
  <r>
    <x v="0"/>
    <x v="11"/>
    <n v="44551"/>
    <x v="5"/>
    <x v="0"/>
    <x v="11"/>
    <x v="2"/>
    <x v="26"/>
    <s v="Chả cá viên 500g"/>
    <s v="Gói"/>
    <n v="353"/>
    <n v="176.5"/>
    <d v="1899-12-30T12:00:00"/>
    <n v="44577"/>
    <s v="Low sell"/>
    <n v="8860300"/>
    <x v="0"/>
    <n v="353"/>
    <n v="8860300"/>
    <x v="0"/>
    <x v="0"/>
  </r>
  <r>
    <x v="0"/>
    <x v="11"/>
    <n v="44551"/>
    <x v="5"/>
    <x v="0"/>
    <x v="11"/>
    <x v="2"/>
    <x v="26"/>
    <s v="Chả cá viên 500g"/>
    <s v="Kg"/>
    <n v="1608"/>
    <n v="804"/>
    <d v="1899-12-30T12:00:00"/>
    <n v="44578"/>
    <s v="Low sell"/>
    <n v="40360800"/>
    <x v="0"/>
    <n v="1608"/>
    <n v="40360800"/>
    <x v="0"/>
    <x v="0"/>
  </r>
  <r>
    <x v="0"/>
    <x v="11"/>
    <n v="44551"/>
    <x v="6"/>
    <x v="0"/>
    <x v="38"/>
    <x v="2"/>
    <x v="160"/>
    <s v="Ohya Fun Mix Nugget, Phô Mai Da Xốp - Gói 270G"/>
    <s v="Hộp"/>
    <n v="5"/>
    <n v="1.35"/>
    <d v="1899-12-30T06:28:48"/>
    <n v="44702"/>
    <s v="Low sell"/>
    <n v="41507.5"/>
    <x v="0"/>
    <n v="5"/>
    <n v="41507.5"/>
    <x v="0"/>
    <x v="0"/>
  </r>
  <r>
    <x v="0"/>
    <x v="11"/>
    <n v="44557"/>
    <x v="8"/>
    <x v="1"/>
    <x v="22"/>
    <x v="1"/>
    <x v="174"/>
    <s v="Sữa bột béo (New Zealand)"/>
    <s v="Kg"/>
    <n v="50"/>
    <n v="50"/>
    <d v="1899-12-31T00:00:00"/>
    <n v="44607"/>
    <s v="low using for production"/>
    <n v="3566843.4528163858"/>
    <x v="0"/>
    <n v="0"/>
    <n v="0"/>
    <x v="0"/>
    <x v="0"/>
  </r>
  <r>
    <x v="0"/>
    <x v="11"/>
    <n v="44557"/>
    <x v="8"/>
    <x v="1"/>
    <x v="22"/>
    <x v="1"/>
    <x v="175"/>
    <s v="Men khô hiệu Saf Instant nhãn vàng (đầu bếp ngọt)"/>
    <s v="Kg"/>
    <n v="50"/>
    <n v="50"/>
    <d v="1899-12-31T00:00:00"/>
    <n v="44657"/>
    <s v="low using for production"/>
    <n v="2818181.7269076309"/>
    <x v="0"/>
    <n v="0"/>
    <n v="0"/>
    <x v="0"/>
    <x v="0"/>
  </r>
  <r>
    <x v="0"/>
    <x v="11"/>
    <n v="44561"/>
    <x v="3"/>
    <x v="0"/>
    <x v="12"/>
    <x v="1"/>
    <x v="176"/>
    <s v="Frozen kimchi 60gr*5-CJ Mainfrost"/>
    <s v="Pack 5ea"/>
    <n v="3000"/>
    <n v="900"/>
    <d v="1899-12-30T07:12:00"/>
    <n v="44687"/>
    <m/>
    <n v="40325000"/>
    <x v="0"/>
    <n v="127"/>
    <n v="1707091.6666666665"/>
    <x v="0"/>
    <x v="0"/>
  </r>
  <r>
    <x v="0"/>
    <x v="11"/>
    <n v="44561"/>
    <x v="3"/>
    <x v="0"/>
    <x v="12"/>
    <x v="1"/>
    <x v="176"/>
    <s v="Frozen kimchi 60gr*5-CJ Mainfrost"/>
    <s v="Pack 5ea"/>
    <n v="3000"/>
    <n v="900"/>
    <d v="1899-12-30T07:12:00"/>
    <n v="44688"/>
    <m/>
    <n v="40325000"/>
    <x v="0"/>
    <n v="0"/>
    <n v="0"/>
    <x v="0"/>
    <x v="0"/>
  </r>
  <r>
    <x v="0"/>
    <x v="11"/>
    <n v="44561"/>
    <x v="3"/>
    <x v="0"/>
    <x v="12"/>
    <x v="1"/>
    <x v="177"/>
    <s v="Frozen kimchi 500gr-CJ Mainfrost"/>
    <s v="Hộp"/>
    <n v="7000"/>
    <n v="3500"/>
    <d v="1899-12-30T12:00:00"/>
    <n v="44675"/>
    <m/>
    <n v="112900000"/>
    <x v="0"/>
    <n v="484"/>
    <n v="7806228.5714285709"/>
    <x v="0"/>
    <x v="0"/>
  </r>
  <r>
    <x v="1"/>
    <x v="0"/>
    <n v="44572"/>
    <x v="0"/>
    <x v="0"/>
    <x v="3"/>
    <x v="1"/>
    <x v="178"/>
    <s v="Súp hoành thánh 20G - Khay 227g (24 khay/thùng/5.448kg)"/>
    <s v="Khay"/>
    <n v="48000"/>
    <n v="10896"/>
    <d v="1899-12-30T05:26:53"/>
    <n v="45265"/>
    <s v=" The following product: Food safety verification of export product result: &quot;Shrimp Wonton Soup Lot 061&quot; is not compliant with the standard of physical chemistry of US market. Product just be proposed to sell in domestic market, internal sales or member gifts at TET."/>
    <n v="-6446399.999999878"/>
    <x v="1"/>
    <n v="9218"/>
    <n v="-1237977.3999999766"/>
    <x v="0"/>
    <x v="0"/>
  </r>
  <r>
    <x v="1"/>
    <x v="0"/>
    <n v="44574"/>
    <x v="0"/>
    <x v="0"/>
    <x v="18"/>
    <x v="0"/>
    <x v="144"/>
    <s v="Bánh Mandu Hải Sản  CJ Bibigo -Gói 1.505Kg -Thùng 9.03Kg"/>
    <s v="Gói"/>
    <n v="18"/>
    <n v="27.089999999999996"/>
    <d v="1899-12-31T12:07:12"/>
    <n v="44790"/>
    <s v="Lỗi rách to - Phát hiện khi lọc hàng"/>
    <n v="1663200"/>
    <x v="0"/>
    <n v="18"/>
    <n v="1663200"/>
    <x v="0"/>
    <x v="0"/>
  </r>
  <r>
    <x v="1"/>
    <x v="0"/>
    <n v="44574"/>
    <x v="0"/>
    <x v="0"/>
    <x v="18"/>
    <x v="0"/>
    <x v="144"/>
    <s v="Bánh Mandu Hải Sản  CJ Bibigo -Gói 1.505Kg -Thùng 9.03Kg"/>
    <s v="Gói"/>
    <n v="42"/>
    <n v="63.209999999999994"/>
    <d v="1899-12-31T12:07:12"/>
    <n v="44790"/>
    <s v="Lỗi rách to - Phát hiện khi lọc hàng"/>
    <n v="3880800"/>
    <x v="0"/>
    <n v="42"/>
    <n v="3880800"/>
    <x v="0"/>
    <x v="0"/>
  </r>
  <r>
    <x v="1"/>
    <x v="0"/>
    <n v="44574"/>
    <x v="3"/>
    <x v="0"/>
    <x v="21"/>
    <x v="2"/>
    <x v="87"/>
    <s v="Đậu hũ non Bibigo Ông Kim's 220gr"/>
    <s v="Cây"/>
    <n v="37"/>
    <n v="8.14"/>
    <d v="1899-12-30T05:16:48"/>
    <n v="44578"/>
    <s v="low selling and nearly expired"/>
    <n v="159100"/>
    <x v="0"/>
    <n v="0"/>
    <n v="0"/>
    <x v="0"/>
    <x v="0"/>
  </r>
  <r>
    <x v="1"/>
    <x v="0"/>
    <n v="44574"/>
    <x v="3"/>
    <x v="0"/>
    <x v="21"/>
    <x v="2"/>
    <x v="107"/>
    <s v="Đậu hũ non Bibigo Ông Kim's 250gr"/>
    <s v="Hộp"/>
    <n v="22"/>
    <n v="5.5"/>
    <d v="1899-12-30T06:00:00"/>
    <n v="44578"/>
    <s v="low selling and nearly expired"/>
    <n v="118800"/>
    <x v="0"/>
    <n v="0"/>
    <n v="0"/>
    <x v="0"/>
    <x v="0"/>
  </r>
  <r>
    <x v="1"/>
    <x v="0"/>
    <n v="44579"/>
    <x v="3"/>
    <x v="0"/>
    <x v="12"/>
    <x v="0"/>
    <x v="53"/>
    <s v="Kim chi cải thảo cắt lát Ông Kim's 5Kg-GGG"/>
    <s v="Túi"/>
    <n v="8"/>
    <n v="40"/>
    <d v="1900-01-04T00:00:00"/>
    <n v="44586"/>
    <s v="slow selling and nearly expired"/>
    <n v="1079065.2963855425"/>
    <x v="0"/>
    <n v="8"/>
    <n v="1079065.2963855425"/>
    <x v="0"/>
    <x v="0"/>
  </r>
  <r>
    <x v="1"/>
    <x v="0"/>
    <n v="44579"/>
    <x v="0"/>
    <x v="0"/>
    <x v="18"/>
    <x v="0"/>
    <x v="144"/>
    <s v="Bánh Mandu Hải Sản  CJ Bibigo -Gói 1.505Kg -Thùng 9.03Kg"/>
    <s v="Gói"/>
    <n v="1"/>
    <n v="1.5049999999999999"/>
    <d v="1899-12-31T12:07:12"/>
    <n v="44622"/>
    <s v="slow selling and nearly expired"/>
    <n v="92399.816166439297"/>
    <x v="0"/>
    <n v="0"/>
    <n v="0"/>
    <x v="0"/>
    <x v="0"/>
  </r>
  <r>
    <x v="1"/>
    <x v="0"/>
    <n v="44579"/>
    <x v="2"/>
    <x v="0"/>
    <x v="7"/>
    <x v="0"/>
    <x v="147"/>
    <s v="Trà Oolong cao cấp hộp bát giác đen - Hộp 200g"/>
    <s v="Hộp"/>
    <n v="3"/>
    <n v="0.60000000000000009"/>
    <d v="1899-12-30T04:48:00"/>
    <n v="45085"/>
    <s v="slow selling and nearly expired"/>
    <n v="154198.87243518373"/>
    <x v="0"/>
    <n v="0"/>
    <n v="0"/>
    <x v="0"/>
    <x v="0"/>
  </r>
  <r>
    <x v="1"/>
    <x v="0"/>
    <n v="44579"/>
    <x v="0"/>
    <x v="0"/>
    <x v="18"/>
    <x v="1"/>
    <x v="103"/>
    <s v="Mandu Bibigo Bán Nội Bộ - Gói 654G"/>
    <s v="Gói"/>
    <n v="16"/>
    <n v="6.4"/>
    <d v="1899-12-30T09:36:00"/>
    <n v="44698"/>
    <s v="slow selling and nearly expired"/>
    <n v="-322239"/>
    <x v="0"/>
    <n v="8"/>
    <n v="-161119.5"/>
    <x v="0"/>
    <x v="0"/>
  </r>
  <r>
    <x v="1"/>
    <x v="0"/>
    <n v="44579"/>
    <x v="3"/>
    <x v="0"/>
    <x v="12"/>
    <x v="2"/>
    <x v="65"/>
    <s v="Đậu hũ chiên Ông Kim's 350gr"/>
    <s v="Hộp"/>
    <n v="342"/>
    <n v="119.7"/>
    <d v="1899-12-30T08:24:00"/>
    <n v="44585"/>
    <s v="slow selling and nearly expired"/>
    <n v="3830400"/>
    <x v="0"/>
    <n v="10"/>
    <n v="112000"/>
    <x v="0"/>
    <x v="0"/>
  </r>
  <r>
    <x v="1"/>
    <x v="0"/>
    <n v="44579"/>
    <x v="3"/>
    <x v="0"/>
    <x v="21"/>
    <x v="2"/>
    <x v="66"/>
    <s v="Đậu hũ miếng Bibigo Ông Kim's 250gr"/>
    <s v="Hộp"/>
    <n v="13"/>
    <n v="3.25"/>
    <d v="1899-12-30T06:00:00"/>
    <n v="44585"/>
    <s v="slow selling and nearly expired"/>
    <n v="79300"/>
    <x v="0"/>
    <n v="10"/>
    <n v="61000"/>
    <x v="0"/>
    <x v="0"/>
  </r>
  <r>
    <x v="1"/>
    <x v="0"/>
    <n v="44579"/>
    <x v="3"/>
    <x v="0"/>
    <x v="21"/>
    <x v="2"/>
    <x v="87"/>
    <s v="Đậu hũ non Bibigo Ông Kim's 220gr"/>
    <s v="Cây"/>
    <n v="148"/>
    <n v="32.56"/>
    <d v="1899-12-30T05:16:48"/>
    <n v="44585"/>
    <s v="slow selling and nearly expired"/>
    <n v="636400"/>
    <x v="0"/>
    <n v="0"/>
    <n v="0"/>
    <x v="0"/>
    <x v="0"/>
  </r>
  <r>
    <x v="1"/>
    <x v="0"/>
    <n v="44579"/>
    <x v="3"/>
    <x v="0"/>
    <x v="21"/>
    <x v="2"/>
    <x v="107"/>
    <s v="Đậu hũ non Bibigo Ông Kim's 250gr"/>
    <s v="Hộp"/>
    <n v="144"/>
    <n v="36"/>
    <d v="1899-12-30T06:00:00"/>
    <n v="44585"/>
    <s v="slow selling and nearly expired"/>
    <n v="777600"/>
    <x v="0"/>
    <n v="0"/>
    <n v="0"/>
    <x v="0"/>
    <x v="0"/>
  </r>
  <r>
    <x v="1"/>
    <x v="0"/>
    <n v="44579"/>
    <x v="3"/>
    <x v="0"/>
    <x v="12"/>
    <x v="2"/>
    <x v="31"/>
    <s v="Bibigo Kimchi cải thảo - ngò 100gr"/>
    <s v="Túi"/>
    <n v="100"/>
    <n v="10"/>
    <d v="1899-12-30T02:24:00"/>
    <n v="44615"/>
    <s v="slow selling and nearly expired"/>
    <n v="399996.24000000011"/>
    <x v="0"/>
    <n v="0"/>
    <n v="0"/>
    <x v="0"/>
    <x v="0"/>
  </r>
  <r>
    <x v="1"/>
    <x v="0"/>
    <n v="44580"/>
    <x v="8"/>
    <x v="1"/>
    <x v="22"/>
    <x v="1"/>
    <x v="179"/>
    <s v="Tôm sú"/>
    <s v="Kg"/>
    <n v="45"/>
    <n v="45"/>
    <d v="1899-12-31T00:00:00"/>
    <n v="44692"/>
    <s v="slow using for production"/>
    <n v="3165159.1075347476"/>
    <x v="0"/>
    <n v="0"/>
    <n v="0"/>
    <x v="0"/>
    <x v="0"/>
  </r>
  <r>
    <x v="1"/>
    <x v="0"/>
    <n v="44580"/>
    <x v="7"/>
    <x v="0"/>
    <x v="28"/>
    <x v="1"/>
    <x v="180"/>
    <s v="Xốt chả cá cay ngọt Hàn Quốc - Gói 35g"/>
    <s v="Gói"/>
    <n v="1200"/>
    <n v="42.000000000000007"/>
    <d v="1899-12-30T00:50:24"/>
    <n v="44747"/>
    <s v="do not use in production  due to new formula and old packaging"/>
    <n v="1895533.1301432487"/>
    <x v="1"/>
    <n v="0"/>
    <n v="0"/>
    <x v="0"/>
    <x v="0"/>
  </r>
  <r>
    <x v="1"/>
    <x v="0"/>
    <n v="44580"/>
    <x v="7"/>
    <x v="0"/>
    <x v="28"/>
    <x v="1"/>
    <x v="180"/>
    <s v="Xốt chả cá cay ngọt Hàn Quốc - Gói 35g"/>
    <s v="Gói"/>
    <n v="2100"/>
    <n v="73.5"/>
    <d v="1899-12-30T00:50:24"/>
    <n v="44835"/>
    <s v="do not use in production  due to new formula and old packaging"/>
    <n v="3317182.9777506855"/>
    <x v="1"/>
    <n v="0"/>
    <n v="0"/>
    <x v="0"/>
    <x v="0"/>
  </r>
  <r>
    <x v="1"/>
    <x v="0"/>
    <n v="44586"/>
    <x v="5"/>
    <x v="0"/>
    <x v="24"/>
    <x v="2"/>
    <x v="181"/>
    <s v="Chả lụa quết Cầu Tre - Chả bì 500gr"/>
    <s v="Gói"/>
    <n v="59"/>
    <n v="29.5"/>
    <d v="1899-12-30T12:00:00"/>
    <n v="44604"/>
    <s v="slow selling and nearly expired"/>
    <n v="1829000"/>
    <x v="0"/>
    <n v="13"/>
    <n v="403000"/>
    <x v="0"/>
    <x v="0"/>
  </r>
  <r>
    <x v="1"/>
    <x v="0"/>
    <n v="44586"/>
    <x v="5"/>
    <x v="0"/>
    <x v="24"/>
    <x v="2"/>
    <x v="181"/>
    <s v="Chả lụa quết Cầu Tre - Chả bì 500gr"/>
    <s v="Gói"/>
    <n v="4"/>
    <n v="2"/>
    <d v="1899-12-30T12:00:00"/>
    <n v="44612"/>
    <s v="slow selling and nearly expired"/>
    <n v="124000"/>
    <x v="0"/>
    <n v="0"/>
    <n v="0"/>
    <x v="0"/>
    <x v="0"/>
  </r>
  <r>
    <x v="1"/>
    <x v="0"/>
    <n v="44586"/>
    <x v="5"/>
    <x v="0"/>
    <x v="24"/>
    <x v="2"/>
    <x v="128"/>
    <s v="Chả Lụa Quết Thượng Hạng 500g (mát) - CT tặng kèm Chả cá"/>
    <s v="Gói"/>
    <n v="1080"/>
    <n v="540"/>
    <d v="1899-12-30T12:00:00"/>
    <n v="44626"/>
    <s v="slow selling and nearly expired"/>
    <n v="37044000"/>
    <x v="0"/>
    <n v="293"/>
    <n v="10049900"/>
    <x v="0"/>
    <x v="0"/>
  </r>
  <r>
    <x v="1"/>
    <x v="0"/>
    <n v="44587"/>
    <x v="7"/>
    <x v="0"/>
    <x v="28"/>
    <x v="1"/>
    <x v="182"/>
    <s v="Túi xốt tokbokki 60g"/>
    <s v="Gói"/>
    <n v="3796"/>
    <n v="227.76"/>
    <d v="1899-12-30T01:26:24"/>
    <n v="44906"/>
    <s v="do not use in production  due to new formula and old packaging"/>
    <n v="18020666"/>
    <x v="1"/>
    <n v="5"/>
    <n v="23736.388303477343"/>
    <x v="0"/>
    <x v="0"/>
  </r>
  <r>
    <x v="1"/>
    <x v="0"/>
    <n v="44587"/>
    <x v="3"/>
    <x v="0"/>
    <x v="12"/>
    <x v="2"/>
    <x v="31"/>
    <s v="Bibigo Kimchi cải thảo - ngò 100gr"/>
    <s v="Gói"/>
    <n v="506"/>
    <n v="50.6"/>
    <d v="1899-12-30T02:24:00"/>
    <n v="44624"/>
    <s v="slow selling and nearly expired"/>
    <n v="2023980.9743999999"/>
    <x v="0"/>
    <n v="170"/>
    <n v="679993.60800000001"/>
    <x v="0"/>
    <x v="0"/>
  </r>
  <r>
    <x v="1"/>
    <x v="0"/>
    <n v="44587"/>
    <x v="3"/>
    <x v="0"/>
    <x v="18"/>
    <x v="2"/>
    <x v="31"/>
    <s v="Bibigo Kimchi cải thảo - ngò 100gr"/>
    <s v="Gói"/>
    <n v="90"/>
    <n v="9"/>
    <d v="1899-12-30T02:24:00"/>
    <n v="44628"/>
    <s v="slow selling and nearly expired"/>
    <n v="359996.61600000004"/>
    <x v="0"/>
    <n v="0"/>
    <n v="0"/>
    <x v="0"/>
    <x v="0"/>
  </r>
  <r>
    <x v="1"/>
    <x v="0"/>
    <n v="44587"/>
    <x v="5"/>
    <x v="0"/>
    <x v="16"/>
    <x v="2"/>
    <x v="26"/>
    <s v="Chả cá viên 500g"/>
    <s v="Gói"/>
    <n v="242"/>
    <n v="121"/>
    <d v="1899-12-30T12:00:00"/>
    <n v="44628"/>
    <s v="slow selling and nearly expired"/>
    <n v="3847799.903200001"/>
    <x v="0"/>
    <n v="242"/>
    <n v="3847799.903200001"/>
    <x v="0"/>
    <x v="0"/>
  </r>
  <r>
    <x v="1"/>
    <x v="0"/>
    <n v="44587"/>
    <x v="5"/>
    <x v="0"/>
    <x v="16"/>
    <x v="2"/>
    <x v="26"/>
    <s v="Chả cá viên 500g"/>
    <s v="Gói"/>
    <n v="1123"/>
    <n v="561.5"/>
    <d v="1899-12-30T12:00:00"/>
    <n v="44631"/>
    <s v="slow selling and nearly expired"/>
    <n v="17855699.550800003"/>
    <x v="0"/>
    <n v="820"/>
    <n v="13037999.672000002"/>
    <x v="0"/>
    <x v="0"/>
  </r>
  <r>
    <x v="1"/>
    <x v="0"/>
    <n v="44587"/>
    <x v="5"/>
    <x v="0"/>
    <x v="24"/>
    <x v="2"/>
    <x v="33"/>
    <s v="Chả lụa quết nhất phẩm – 200G"/>
    <s v="Gói"/>
    <n v="1236"/>
    <n v="247.2"/>
    <d v="1899-12-30T04:48:00"/>
    <n v="44626"/>
    <s v="slow selling and nearly expired"/>
    <n v="13476108"/>
    <x v="0"/>
    <n v="362"/>
    <n v="3946886"/>
    <x v="0"/>
    <x v="0"/>
  </r>
  <r>
    <x v="1"/>
    <x v="0"/>
    <n v="44587"/>
    <x v="5"/>
    <x v="0"/>
    <x v="24"/>
    <x v="2"/>
    <x v="33"/>
    <s v="Chả lụa quết nhất phẩm – 200G"/>
    <s v="Gói"/>
    <n v="270"/>
    <n v="54"/>
    <d v="1899-12-30T04:48:00"/>
    <n v="44631"/>
    <s v="slow selling and nearly expired"/>
    <n v="2943810"/>
    <x v="0"/>
    <n v="0"/>
    <n v="0"/>
    <x v="0"/>
    <x v="0"/>
  </r>
  <r>
    <x v="1"/>
    <x v="0"/>
    <n v="44587"/>
    <x v="5"/>
    <x v="0"/>
    <x v="24"/>
    <x v="2"/>
    <x v="183"/>
    <s v="Chả lụa quết Cầu Tre - Chả bì ớt xiêm xanh 500gr"/>
    <s v="Gói"/>
    <n v="15"/>
    <n v="7.5"/>
    <d v="1899-12-30T12:00:00"/>
    <n v="44617"/>
    <s v="slow selling and nearly expired"/>
    <n v="465000"/>
    <x v="0"/>
    <n v="0"/>
    <n v="0"/>
    <x v="0"/>
    <x v="0"/>
  </r>
  <r>
    <x v="1"/>
    <x v="0"/>
    <n v="44587"/>
    <x v="5"/>
    <x v="0"/>
    <x v="24"/>
    <x v="2"/>
    <x v="183"/>
    <s v="Chả lụa quết Cầu Tre - Chả bì ớt xiêm xanh 500gr"/>
    <s v="Gói"/>
    <n v="538"/>
    <n v="269"/>
    <d v="1899-12-30T12:00:00"/>
    <n v="44625"/>
    <s v="slow selling and nearly expired"/>
    <n v="16678000"/>
    <x v="0"/>
    <n v="3"/>
    <n v="93000"/>
    <x v="0"/>
    <x v="0"/>
  </r>
  <r>
    <x v="1"/>
    <x v="1"/>
    <n v="44607"/>
    <x v="5"/>
    <x v="0"/>
    <x v="23"/>
    <x v="0"/>
    <x v="84"/>
    <s v="Xúc xích heo vị Mexico (mini) hiệu REAL Gói 200g"/>
    <s v="Gói"/>
    <n v="16"/>
    <n v="3.2"/>
    <d v="1899-12-30T04:48:00"/>
    <n v="44626"/>
    <s v="low selling and near expired"/>
    <n v="361026.11680000002"/>
    <x v="0"/>
    <n v="16"/>
    <n v="361026.11680000002"/>
    <x v="0"/>
    <x v="0"/>
  </r>
  <r>
    <x v="1"/>
    <x v="1"/>
    <n v="44607"/>
    <x v="5"/>
    <x v="0"/>
    <x v="23"/>
    <x v="0"/>
    <x v="77"/>
    <s v="Xúc xích heo kiểu Mexico hiệu REAL 200g"/>
    <s v="Gói"/>
    <n v="16"/>
    <n v="3.2"/>
    <d v="1899-12-30T04:48:00"/>
    <n v="44626"/>
    <s v="low selling and near expired"/>
    <n v="371515.48479999998"/>
    <x v="0"/>
    <n v="16"/>
    <n v="371515.48479999998"/>
    <x v="0"/>
    <x v="0"/>
  </r>
  <r>
    <x v="1"/>
    <x v="1"/>
    <n v="44607"/>
    <x v="0"/>
    <x v="0"/>
    <x v="18"/>
    <x v="0"/>
    <x v="62"/>
    <s v="Bánh Mandu Thịt CJ Bibigo - gói 1.505kg- Thùng 9,03 kg"/>
    <s v="Gói"/>
    <n v="4"/>
    <n v="6.02"/>
    <d v="1899-12-31T12:07:12"/>
    <n v="44840"/>
    <s v="low selling and near expired"/>
    <n v="222625.01519999999"/>
    <x v="0"/>
    <n v="0"/>
    <n v="0"/>
    <x v="0"/>
    <x v="0"/>
  </r>
  <r>
    <x v="1"/>
    <x v="1"/>
    <n v="44607"/>
    <x v="0"/>
    <x v="0"/>
    <x v="0"/>
    <x v="0"/>
    <x v="184"/>
    <s v="Phô mai Da xốp Cầu Tre- Tôm Mayonnaise-Gói 300g( hàng tặng cho CG DX Tôm thịt)"/>
    <s v="Gói"/>
    <n v="16"/>
    <n v="4.8"/>
    <d v="1899-12-30T07:12:00"/>
    <n v="44838"/>
    <s v="low selling and near expired"/>
    <n v="268800.89790143835"/>
    <x v="0"/>
    <n v="16"/>
    <n v="268800.89790143835"/>
    <x v="0"/>
    <x v="0"/>
  </r>
  <r>
    <x v="1"/>
    <x v="1"/>
    <n v="44607"/>
    <x v="4"/>
    <x v="0"/>
    <x v="28"/>
    <x v="1"/>
    <x v="124"/>
    <s v="Bibigo Xốt Nấu Tokbikki Vị Cay Ngọt (120g*20ea)/ct"/>
    <s v="Gói"/>
    <n v="1000"/>
    <n v="120"/>
    <d v="1899-12-30T02:52:48"/>
    <n v="44634"/>
    <s v="low date + low using for production"/>
    <n v="12842070.473381806"/>
    <x v="0"/>
    <n v="0"/>
    <n v="0"/>
    <x v="0"/>
    <x v="0"/>
  </r>
  <r>
    <x v="1"/>
    <x v="1"/>
    <n v="44607"/>
    <x v="3"/>
    <x v="0"/>
    <x v="12"/>
    <x v="2"/>
    <x v="41"/>
    <s v="Bibigo Kimchi cải thảo chay 500gr"/>
    <s v="Hộp"/>
    <n v="77"/>
    <n v="38.5"/>
    <d v="1899-12-30T12:00:00"/>
    <n v="44642"/>
    <s v="low selling and near expired"/>
    <n v="1501502.8336"/>
    <x v="0"/>
    <n v="77"/>
    <n v="1501502.8336"/>
    <x v="0"/>
    <x v="0"/>
  </r>
  <r>
    <x v="1"/>
    <x v="1"/>
    <n v="44607"/>
    <x v="3"/>
    <x v="0"/>
    <x v="12"/>
    <x v="2"/>
    <x v="68"/>
    <s v="Bibigo Kimchi cải thảo - ngò 500gr"/>
    <s v="Hộp"/>
    <n v="1020"/>
    <n v="510"/>
    <d v="1899-12-30T12:00:00"/>
    <n v="44634"/>
    <s v="low selling and near expired"/>
    <n v="21420092.208000001"/>
    <x v="0"/>
    <n v="164"/>
    <n v="3444014.8256000001"/>
    <x v="0"/>
    <x v="0"/>
  </r>
  <r>
    <x v="1"/>
    <x v="1"/>
    <n v="44607"/>
    <x v="3"/>
    <x v="0"/>
    <x v="12"/>
    <x v="2"/>
    <x v="68"/>
    <s v="Bibigo Kimchi cải thảo - ngò 500gr"/>
    <s v="Hộp"/>
    <n v="10"/>
    <n v="5"/>
    <d v="1899-12-30T12:00:00"/>
    <n v="44639"/>
    <s v="low selling and near expired"/>
    <n v="210000.90400000001"/>
    <x v="0"/>
    <n v="0"/>
    <n v="0"/>
    <x v="0"/>
    <x v="0"/>
  </r>
  <r>
    <x v="1"/>
    <x v="1"/>
    <n v="44607"/>
    <x v="1"/>
    <x v="0"/>
    <x v="31"/>
    <x v="2"/>
    <x v="126"/>
    <s v="Cầu Tre Pure bánh tráng chả giò 280g"/>
    <s v="Gói"/>
    <n v="15"/>
    <n v="4.2"/>
    <d v="1899-12-30T06:43:12"/>
    <n v="44619"/>
    <s v="low selling and near expired"/>
    <n v="135245.454"/>
    <x v="0"/>
    <n v="0"/>
    <n v="0"/>
    <x v="0"/>
    <x v="0"/>
  </r>
  <r>
    <x v="1"/>
    <x v="1"/>
    <n v="44607"/>
    <x v="1"/>
    <x v="0"/>
    <x v="29"/>
    <x v="2"/>
    <x v="185"/>
    <s v="Cầu Tre Pure bún tươi 300g_AUS"/>
    <s v="Gói"/>
    <n v="10"/>
    <n v="3"/>
    <d v="1899-12-30T07:12:00"/>
    <n v="44886"/>
    <s v="low selling and near expired"/>
    <n v="79000"/>
    <x v="0"/>
    <n v="10"/>
    <n v="79000"/>
    <x v="0"/>
    <x v="0"/>
  </r>
  <r>
    <x v="1"/>
    <x v="1"/>
    <n v="44607"/>
    <x v="2"/>
    <x v="0"/>
    <x v="7"/>
    <x v="2"/>
    <x v="186"/>
    <s v="Trà Oolong túi lọc thường (hộp 25 gói)"/>
    <s v="Hộp"/>
    <n v="252"/>
    <n v="12.6"/>
    <d v="1899-12-30T01:12:00"/>
    <n v="44854"/>
    <s v="low selling and near expired"/>
    <n v="3251919.9887999999"/>
    <x v="0"/>
    <n v="252"/>
    <n v="3251919.9887999999"/>
    <x v="0"/>
    <x v="0"/>
  </r>
  <r>
    <x v="1"/>
    <x v="1"/>
    <n v="44607"/>
    <x v="0"/>
    <x v="0"/>
    <x v="18"/>
    <x v="2"/>
    <x v="187"/>
    <s v="Mandu BIBIGO Hải Sản Gói 350g Tặng Mandu BIBIGO Thịt &amp; Bắp Gói 175g"/>
    <s v="Gói"/>
    <n v="40"/>
    <n v="21"/>
    <d v="1899-12-30T12:36:00"/>
    <n v="44813"/>
    <s v="low selling and near expired"/>
    <n v="1150229.6399999999"/>
    <x v="0"/>
    <n v="40"/>
    <n v="1150229.6399999999"/>
    <x v="0"/>
    <x v="0"/>
  </r>
  <r>
    <x v="1"/>
    <x v="1"/>
    <n v="44607"/>
    <x v="1"/>
    <x v="0"/>
    <x v="41"/>
    <x v="2"/>
    <x v="188"/>
    <s v="HETBAHN Cơm ăn liền (210G*36EA)"/>
    <s v="Hộp"/>
    <n v="13"/>
    <n v="2.73"/>
    <d v="1899-12-30T05:02:24"/>
    <n v="44725"/>
    <s v="low selling and near expired"/>
    <n v="115960.53832453408"/>
    <x v="0"/>
    <n v="11"/>
    <n v="98120.455505374979"/>
    <x v="0"/>
    <x v="0"/>
  </r>
  <r>
    <x v="1"/>
    <x v="1"/>
    <n v="44607"/>
    <x v="4"/>
    <x v="0"/>
    <x v="32"/>
    <x v="2"/>
    <x v="172"/>
    <s v="Tương đậu truyền thống (HỘP) 500G"/>
    <s v="Hộp"/>
    <n v="94"/>
    <n v="47"/>
    <d v="1899-12-30T12:00:00"/>
    <n v="44684"/>
    <s v="low selling and near expired"/>
    <n v="1334142"/>
    <x v="1"/>
    <n v="4"/>
    <n v="56772"/>
    <x v="0"/>
    <x v="0"/>
  </r>
  <r>
    <x v="1"/>
    <x v="1"/>
    <n v="44607"/>
    <x v="4"/>
    <x v="0"/>
    <x v="32"/>
    <x v="2"/>
    <x v="172"/>
    <s v="Tương đậu truyền thống (HỘP) 500G"/>
    <s v="Hộp"/>
    <n v="16"/>
    <n v="8"/>
    <d v="1899-12-30T12:00:00"/>
    <n v="44733"/>
    <s v="low selling and near expired"/>
    <n v="227088"/>
    <x v="0"/>
    <n v="16"/>
    <n v="227088"/>
    <x v="0"/>
    <x v="0"/>
  </r>
  <r>
    <x v="1"/>
    <x v="1"/>
    <n v="44607"/>
    <x v="4"/>
    <x v="0"/>
    <x v="32"/>
    <x v="2"/>
    <x v="189"/>
    <s v="(HAECHANDLE) Tương ớt (P) 500G"/>
    <s v="Hộp"/>
    <n v="6"/>
    <n v="3"/>
    <d v="1899-12-30T12:00:00"/>
    <n v="44747"/>
    <s v="low selling and near expired"/>
    <n v="140896.27679999999"/>
    <x v="0"/>
    <n v="6"/>
    <n v="140896.27679999999"/>
    <x v="0"/>
    <x v="0"/>
  </r>
  <r>
    <x v="1"/>
    <x v="1"/>
    <n v="44607"/>
    <x v="4"/>
    <x v="0"/>
    <x v="25"/>
    <x v="2"/>
    <x v="190"/>
    <s v="(BEKSUL) Xốt ướp Bulgogi bò 290G"/>
    <s v="Hũ"/>
    <n v="236"/>
    <n v="68.44"/>
    <d v="1899-12-30T06:57:36"/>
    <n v="44656"/>
    <s v="low selling and near expired"/>
    <n v="3177205.1768"/>
    <x v="0"/>
    <n v="134"/>
    <n v="1804006.3292"/>
    <x v="0"/>
    <x v="0"/>
  </r>
  <r>
    <x v="1"/>
    <x v="1"/>
    <n v="44607"/>
    <x v="4"/>
    <x v="0"/>
    <x v="25"/>
    <x v="2"/>
    <x v="191"/>
    <s v="(BEKSUL) Xốt ướp sườn bò 290G"/>
    <s v="Hũ"/>
    <n v="21"/>
    <n v="6.09"/>
    <d v="1899-12-30T06:57:36"/>
    <n v="44629"/>
    <s v="low selling and near expired"/>
    <n v="276494.29499999998"/>
    <x v="0"/>
    <n v="6"/>
    <n v="78998.37"/>
    <x v="0"/>
    <x v="0"/>
  </r>
  <r>
    <x v="1"/>
    <x v="1"/>
    <n v="44607"/>
    <x v="4"/>
    <x v="0"/>
    <x v="25"/>
    <x v="2"/>
    <x v="192"/>
    <s v="(BEKSUL) Xốt ướp Bulgogi heo 290G"/>
    <s v="Hũ"/>
    <n v="157"/>
    <n v="45.529999999999994"/>
    <d v="1899-12-30T06:57:36"/>
    <n v="44657"/>
    <s v="low selling and near expired"/>
    <n v="2189801.9467000002"/>
    <x v="0"/>
    <n v="111"/>
    <n v="1548203.9240999999"/>
    <x v="0"/>
    <x v="0"/>
  </r>
  <r>
    <x v="1"/>
    <x v="1"/>
    <n v="44607"/>
    <x v="0"/>
    <x v="0"/>
    <x v="18"/>
    <x v="2"/>
    <x v="62"/>
    <s v="Bánh Mandu Thịt CJ Bibigo - gói 1.505kg- Thùng 9,03 kg"/>
    <s v="Gói"/>
    <n v="1"/>
    <n v="1.5049999999999999"/>
    <d v="1899-12-31T12:07:12"/>
    <n v="44839"/>
    <s v="low selling and near expired"/>
    <n v="55656.253800000006"/>
    <x v="0"/>
    <n v="0"/>
    <n v="0"/>
    <x v="0"/>
    <x v="0"/>
  </r>
  <r>
    <x v="1"/>
    <x v="1"/>
    <n v="44607"/>
    <x v="0"/>
    <x v="0"/>
    <x v="18"/>
    <x v="2"/>
    <x v="144"/>
    <s v="Bánh Mandu Hải Sản CJ Bibigo - Gói 1.505Kg - Thùng 9,03Kg"/>
    <s v="Gói"/>
    <n v="2"/>
    <n v="3.01"/>
    <d v="1899-12-31T12:07:12"/>
    <n v="44846"/>
    <s v="low selling and near expired"/>
    <n v="128800"/>
    <x v="0"/>
    <n v="0"/>
    <n v="0"/>
    <x v="0"/>
    <x v="0"/>
  </r>
  <r>
    <x v="1"/>
    <x v="1"/>
    <n v="44607"/>
    <x v="0"/>
    <x v="0"/>
    <x v="18"/>
    <x v="2"/>
    <x v="134"/>
    <s v="Bánh Mandu Thịt và Bắp CJ Bibigo – Gói 350g (GT)"/>
    <s v="Gói"/>
    <n v="1"/>
    <n v="0.35"/>
    <d v="1899-12-30T08:24:00"/>
    <n v="44631"/>
    <s v="low selling and near expired"/>
    <n v="20600"/>
    <x v="0"/>
    <n v="1"/>
    <n v="20600"/>
    <x v="0"/>
    <x v="0"/>
  </r>
  <r>
    <x v="1"/>
    <x v="1"/>
    <n v="44607"/>
    <x v="0"/>
    <x v="0"/>
    <x v="0"/>
    <x v="2"/>
    <x v="184"/>
    <s v="Phô Mai Da Xốp Cầu Tre - Tôm Mayonnaise - Gói 300g (hàng tặng cho CG DX Tôm Thịt)"/>
    <s v="Gói"/>
    <n v="76"/>
    <n v="22.8"/>
    <d v="1899-12-30T07:12:00"/>
    <n v="44841"/>
    <s v="low selling and near expired"/>
    <n v="1276804.2650318325"/>
    <x v="0"/>
    <n v="71"/>
    <n v="1192803.9844376326"/>
    <x v="0"/>
    <x v="0"/>
  </r>
  <r>
    <x v="1"/>
    <x v="1"/>
    <n v="44607"/>
    <x v="2"/>
    <x v="0"/>
    <x v="7"/>
    <x v="2"/>
    <x v="152"/>
    <s v="Trà Oolong – Lon đỏ 150G"/>
    <s v="Lon"/>
    <n v="52"/>
    <n v="7.8"/>
    <d v="1899-12-30T03:36:00"/>
    <n v="44953"/>
    <s v="low selling and near expired"/>
    <n v="2048706.5248"/>
    <x v="0"/>
    <n v="52"/>
    <n v="2048706.5248"/>
    <x v="0"/>
    <x v="0"/>
  </r>
  <r>
    <x v="1"/>
    <x v="1"/>
    <n v="44609"/>
    <x v="8"/>
    <x v="1"/>
    <x v="22"/>
    <x v="1"/>
    <x v="193"/>
    <s v="Phô mai Mozzarella – Polmlek"/>
    <s v="Kg"/>
    <n v="1000"/>
    <n v="1000"/>
    <d v="1899-12-31T00:00:00"/>
    <n v="44739"/>
    <s v="low using for production and near expired"/>
    <n v="0"/>
    <x v="1"/>
    <n v="18"/>
    <n v="0"/>
    <x v="0"/>
    <x v="0"/>
  </r>
  <r>
    <x v="1"/>
    <x v="1"/>
    <n v="44612"/>
    <x v="8"/>
    <x v="1"/>
    <x v="22"/>
    <x v="3"/>
    <x v="194"/>
    <s v="Nước tương đậu nành"/>
    <s v="LIT"/>
    <n v="300"/>
    <n v="300"/>
    <d v="1899-12-31T00:00:00"/>
    <n v="44632"/>
    <s v="low using for production and near expired"/>
    <n v="8919262.9313543607"/>
    <x v="0"/>
    <n v="0"/>
    <n v="0"/>
    <x v="0"/>
    <x v="0"/>
  </r>
  <r>
    <x v="1"/>
    <x v="1"/>
    <n v="44614"/>
    <x v="8"/>
    <x v="1"/>
    <x v="22"/>
    <x v="3"/>
    <x v="194"/>
    <s v="Nước tương đậu nành"/>
    <s v="LIT"/>
    <n v="204"/>
    <n v="204"/>
    <d v="1899-12-31T00:00:00"/>
    <n v="44632"/>
    <m/>
    <n v="612000"/>
    <x v="0"/>
    <n v="0"/>
    <n v="0"/>
    <x v="0"/>
    <x v="0"/>
  </r>
  <r>
    <x v="1"/>
    <x v="1"/>
    <n v="44614"/>
    <x v="0"/>
    <x v="0"/>
    <x v="28"/>
    <x v="1"/>
    <x v="195"/>
    <s v="Chả Giò Pastry Cầu Tre Phô Mai Tôm Mayonnaise 300g (BTP Fun Mix)"/>
    <s v="Kg"/>
    <n v="427"/>
    <n v="427"/>
    <d v="1899-12-31T00:00:00"/>
    <n v="44893"/>
    <m/>
    <n v="0"/>
    <x v="1"/>
    <n v="56"/>
    <n v="0"/>
    <x v="0"/>
    <x v="0"/>
  </r>
  <r>
    <x v="1"/>
    <x v="1"/>
    <n v="44614"/>
    <x v="9"/>
    <x v="0"/>
    <x v="28"/>
    <x v="1"/>
    <x v="196"/>
    <s v="Gà Nugget (TOLL)"/>
    <s v="Kg"/>
    <n v="1498"/>
    <n v="1498"/>
    <d v="1899-12-31T00:00:00"/>
    <n v="44888"/>
    <m/>
    <n v="0"/>
    <x v="1"/>
    <n v="106"/>
    <n v="0"/>
    <x v="0"/>
    <x v="0"/>
  </r>
  <r>
    <x v="1"/>
    <x v="1"/>
    <n v="44614"/>
    <x v="9"/>
    <x v="0"/>
    <x v="28"/>
    <x v="1"/>
    <x v="196"/>
    <s v="Gà Nugget (TOLL)"/>
    <s v="Kg"/>
    <n v="1114"/>
    <n v="1114"/>
    <d v="1899-12-31T00:00:00"/>
    <n v="44919"/>
    <m/>
    <n v="0"/>
    <x v="1"/>
    <n v="0"/>
    <n v="0"/>
    <x v="0"/>
    <x v="0"/>
  </r>
  <r>
    <x v="1"/>
    <x v="1"/>
    <n v="44614"/>
    <x v="9"/>
    <x v="0"/>
    <x v="28"/>
    <x v="1"/>
    <x v="197"/>
    <s v="Nem Nướng Tteok-galbi (BTP Fun Mix)"/>
    <s v="Kg"/>
    <n v="178"/>
    <n v="178"/>
    <d v="1899-12-31T00:00:00"/>
    <n v="44632"/>
    <m/>
    <n v="0"/>
    <x v="0"/>
    <n v="0"/>
    <n v="0"/>
    <x v="0"/>
    <x v="0"/>
  </r>
  <r>
    <x v="1"/>
    <x v="1"/>
    <n v="44614"/>
    <x v="9"/>
    <x v="0"/>
    <x v="28"/>
    <x v="1"/>
    <x v="197"/>
    <s v="Nem Nướng Tteok-galbi (BTP Fun Mix)"/>
    <s v="Kg"/>
    <n v="260"/>
    <n v="260"/>
    <d v="1899-12-31T00:00:00"/>
    <n v="44689"/>
    <m/>
    <n v="0"/>
    <x v="1"/>
    <n v="0"/>
    <n v="0"/>
    <x v="0"/>
    <x v="0"/>
  </r>
  <r>
    <x v="1"/>
    <x v="1"/>
    <n v="44618"/>
    <x v="0"/>
    <x v="0"/>
    <x v="0"/>
    <x v="0"/>
    <x v="198"/>
    <s v="Chả giò Da xốp Tôm thịt 400g- CT tặng kèm CheezeUp Tôm Mayo 300g"/>
    <s v="Gói"/>
    <n v="17"/>
    <n v="6.8000000000000007"/>
    <d v="1899-12-30T09:36:00"/>
    <n v="44868"/>
    <s v="Small quantity &amp; not the same shelf life, difficult selling"/>
    <n v="299268.30429999996"/>
    <x v="0"/>
    <n v="17"/>
    <n v="299268.30429999996"/>
    <x v="0"/>
    <x v="0"/>
  </r>
  <r>
    <x v="1"/>
    <x v="1"/>
    <n v="44618"/>
    <x v="0"/>
    <x v="0"/>
    <x v="3"/>
    <x v="0"/>
    <x v="199"/>
    <s v="Há cảo Hải sản 500g- CT tặng kèm Bánh Tiểu long nhân súp kiểu Thượng Hải nhân súp &amp; thịt 300g"/>
    <s v="Gói"/>
    <n v="4"/>
    <n v="2"/>
    <d v="1899-12-30T12:00:00"/>
    <n v="44867"/>
    <s v="Small quantity &amp; not the same shelf life, difficult selling"/>
    <n v="54400"/>
    <x v="0"/>
    <n v="4"/>
    <n v="54400"/>
    <x v="0"/>
    <x v="0"/>
  </r>
  <r>
    <x v="1"/>
    <x v="1"/>
    <n v="44618"/>
    <x v="0"/>
    <x v="0"/>
    <x v="18"/>
    <x v="0"/>
    <x v="105"/>
    <s v="비비고 왕교자 455*2BIBIGO Bánh xếp mỏng"/>
    <s v="Set"/>
    <n v="8"/>
    <n v="7.28"/>
    <d v="1899-12-30T21:50:24"/>
    <n v="44691"/>
    <s v="low sell and near expired date"/>
    <n v="541552"/>
    <x v="0"/>
    <n v="8"/>
    <n v="541552"/>
    <x v="0"/>
    <x v="0"/>
  </r>
  <r>
    <x v="1"/>
    <x v="1"/>
    <n v="44618"/>
    <x v="0"/>
    <x v="0"/>
    <x v="18"/>
    <x v="0"/>
    <x v="144"/>
    <s v="Bánh Mandu Hải Sản  CJ Bibigo -Gói 1.505Kg -Thùng 9.03Kg"/>
    <s v="Gói"/>
    <n v="2"/>
    <n v="3.01"/>
    <d v="1899-12-31T12:07:12"/>
    <n v="44790"/>
    <s v="Small quantity &amp; not the same shelf life, difficult selling"/>
    <n v="148800"/>
    <x v="0"/>
    <n v="2"/>
    <n v="148800"/>
    <x v="0"/>
    <x v="0"/>
  </r>
  <r>
    <x v="1"/>
    <x v="1"/>
    <n v="44618"/>
    <x v="0"/>
    <x v="0"/>
    <x v="3"/>
    <x v="0"/>
    <x v="200"/>
    <s v="Bánh Tiểu long nhân súp kiểu Thượng Hải nhân súp &amp; thịt - Gói 300g (hàng tặng cho HC Hải sản)"/>
    <s v="Gói"/>
    <n v="4"/>
    <n v="1.2"/>
    <d v="1899-12-30T07:12:00"/>
    <n v="44869"/>
    <s v="Small quantity &amp; not the same shelf life, difficult selling"/>
    <n v="70800.17707150965"/>
    <x v="0"/>
    <n v="4"/>
    <n v="70800.17707150965"/>
    <x v="0"/>
    <x v="0"/>
  </r>
  <r>
    <x v="1"/>
    <x v="1"/>
    <n v="44618"/>
    <x v="0"/>
    <x v="0"/>
    <x v="3"/>
    <x v="0"/>
    <x v="201"/>
    <s v="Bánh Tiểu Long nhân súp kiểu Thượng Hải nhân súp &amp; thịt- Gói 300g (hàng tặng cho HC Thượng hạng)"/>
    <s v="Gói"/>
    <n v="18"/>
    <n v="5.3999999999999995"/>
    <d v="1899-12-30T07:12:00"/>
    <n v="44871"/>
    <s v="Small quantity &amp; not the same shelf life, difficult selling"/>
    <n v="558047.22194513713"/>
    <x v="0"/>
    <n v="18"/>
    <n v="558047.22194513713"/>
    <x v="0"/>
    <x v="0"/>
  </r>
  <r>
    <x v="1"/>
    <x v="1"/>
    <n v="44618"/>
    <x v="0"/>
    <x v="0"/>
    <x v="18"/>
    <x v="0"/>
    <x v="202"/>
    <s v="Bánh Mandu Thịt và Bắp CJ Bibigo - Gói 350g (GT) Không khay"/>
    <s v="Gói"/>
    <n v="8"/>
    <n v="2.8"/>
    <d v="1899-12-30T08:24:00"/>
    <n v="44845"/>
    <s v="Small quantity &amp; not the same shelf life, difficult selling"/>
    <n v="131211.97606837607"/>
    <x v="0"/>
    <n v="8"/>
    <n v="131211.97606837607"/>
    <x v="0"/>
    <x v="0"/>
  </r>
  <r>
    <x v="1"/>
    <x v="1"/>
    <n v="44618"/>
    <x v="3"/>
    <x v="0"/>
    <x v="12"/>
    <x v="2"/>
    <x v="31"/>
    <s v="Bibigo Kimchi cải thảo - ngò 100gr"/>
    <s v="Túi"/>
    <n v="15"/>
    <n v="1.5"/>
    <d v="1899-12-30T02:24:00"/>
    <n v="44624"/>
    <s v="low sell and near expired date"/>
    <n v="89999.436000000002"/>
    <x v="0"/>
    <n v="0"/>
    <n v="0"/>
    <x v="0"/>
    <x v="0"/>
  </r>
  <r>
    <x v="1"/>
    <x v="1"/>
    <n v="44618"/>
    <x v="0"/>
    <x v="0"/>
    <x v="18"/>
    <x v="2"/>
    <x v="114"/>
    <s v="Bánh Mandu Hải Sản CJ Bibigo – Gói 350g"/>
    <s v="Gói"/>
    <n v="5"/>
    <n v="1.75"/>
    <d v="1899-12-30T08:24:00"/>
    <n v="44622"/>
    <s v="low sell and near expired date"/>
    <n v="118988"/>
    <x v="0"/>
    <n v="0"/>
    <n v="0"/>
    <x v="0"/>
    <x v="0"/>
  </r>
  <r>
    <x v="1"/>
    <x v="1"/>
    <n v="44618"/>
    <x v="0"/>
    <x v="0"/>
    <x v="18"/>
    <x v="2"/>
    <x v="203"/>
    <s v="Bánh Mandu Hải Sản CJ Bibigo – Gói 350g (GT) Không khay - QC 24 gói/thùng"/>
    <s v="Gói"/>
    <n v="6"/>
    <n v="2.0999999999999996"/>
    <d v="1899-12-30T08:24:00"/>
    <n v="44846"/>
    <s v="Small quantity &amp; not the same shelf life, difficult selling"/>
    <n v="596400"/>
    <x v="0"/>
    <n v="6"/>
    <n v="596400"/>
    <x v="0"/>
    <x v="0"/>
  </r>
  <r>
    <x v="1"/>
    <x v="2"/>
    <n v="44628"/>
    <x v="0"/>
    <x v="0"/>
    <x v="3"/>
    <x v="0"/>
    <x v="204"/>
    <s v="Há cảo thượng hạng 300g- CT tặng kèm bánh Tiểu Long nhân súp kiểu Thượng Hải nhân súp &amp; thịt 300g"/>
    <s v="Gói"/>
    <n v="18"/>
    <n v="5.3999999999999995"/>
    <d v="1899-12-30T07:12:00"/>
    <n v="44873"/>
    <s v="low sales volume and near expired"/>
    <n v="358199.98306679213"/>
    <x v="0"/>
    <n v="0"/>
    <n v="0"/>
    <x v="0"/>
    <x v="0"/>
  </r>
  <r>
    <x v="1"/>
    <x v="2"/>
    <n v="44628"/>
    <x v="2"/>
    <x v="0"/>
    <x v="36"/>
    <x v="0"/>
    <x v="7"/>
    <s v="이너비Nước uống Collagen Innerb Glowshot ((50ML*6)*10EA/CT)"/>
    <s v="Set"/>
    <n v="13"/>
    <n v="3.9"/>
    <d v="1899-12-30T07:12:00"/>
    <n v="44644"/>
    <s v="low sales volume and near expired"/>
    <n v="673729.15219999989"/>
    <x v="2"/>
    <n v="0"/>
    <n v="0"/>
    <x v="0"/>
    <x v="0"/>
  </r>
  <r>
    <x v="1"/>
    <x v="2"/>
    <n v="44628"/>
    <x v="2"/>
    <x v="0"/>
    <x v="36"/>
    <x v="0"/>
    <x v="7"/>
    <s v="이너비Nước uống Collagen Innerb Glowshot ((50ML*6)*10EA/CT)"/>
    <s v="Set"/>
    <n v="39"/>
    <n v="11.7"/>
    <d v="1899-12-30T07:12:00"/>
    <n v="44679"/>
    <s v="low sales volume and near expired"/>
    <n v="2021187.4565999997"/>
    <x v="2"/>
    <n v="0"/>
    <n v="0"/>
    <x v="0"/>
    <x v="0"/>
  </r>
  <r>
    <x v="1"/>
    <x v="2"/>
    <n v="44628"/>
    <x v="2"/>
    <x v="0"/>
    <x v="36"/>
    <x v="0"/>
    <x v="7"/>
    <s v="이너비Nước uống Collagen Innerb Glowshot ((50ML*6)*10EA/CT)"/>
    <s v="Set"/>
    <n v="4"/>
    <n v="1.2"/>
    <d v="1899-12-30T07:12:00"/>
    <n v="44798"/>
    <s v="small quantity, low sales volume and near expired"/>
    <n v="75301.277599999972"/>
    <x v="0"/>
    <n v="0"/>
    <n v="0"/>
    <x v="0"/>
    <x v="0"/>
  </r>
  <r>
    <x v="1"/>
    <x v="2"/>
    <n v="44628"/>
    <x v="2"/>
    <x v="0"/>
    <x v="36"/>
    <x v="0"/>
    <x v="138"/>
    <s v="이너비Thực phẩm bảo vệ sức khỏe INNERB AQUA BANK (16.8G*20EA/CT)"/>
    <s v="EA"/>
    <n v="5"/>
    <n v="8.3999999999999977E-2"/>
    <d v="1899-12-30T00:24:12"/>
    <n v="44899"/>
    <s v="small quantity, low sales volume and near expired"/>
    <n v="278965.11249999993"/>
    <x v="0"/>
    <n v="5"/>
    <n v="278965.11249999993"/>
    <x v="0"/>
    <x v="0"/>
  </r>
  <r>
    <x v="1"/>
    <x v="2"/>
    <n v="44628"/>
    <x v="2"/>
    <x v="0"/>
    <x v="36"/>
    <x v="0"/>
    <x v="139"/>
    <s v="이너비  Thực phẩm bảo vệ sức khỏe INNERB AQUA RICH (33.6G*20EA/CT)"/>
    <s v="EA"/>
    <n v="1"/>
    <n v="3.3599999999999998E-2"/>
    <d v="1899-12-30T00:48:23"/>
    <n v="44980"/>
    <s v="small quantity, low sales volume and near expired"/>
    <n v="38277.438599999994"/>
    <x v="0"/>
    <n v="1"/>
    <n v="38277.438599999994"/>
    <x v="0"/>
    <x v="0"/>
  </r>
  <r>
    <x v="1"/>
    <x v="2"/>
    <n v="44628"/>
    <x v="3"/>
    <x v="0"/>
    <x v="12"/>
    <x v="2"/>
    <x v="41"/>
    <s v="Bibigo Kimchi cải thảo chay 500gr"/>
    <s v="Hộp"/>
    <n v="41"/>
    <n v="20.5"/>
    <d v="1899-12-30T12:00:00"/>
    <n v="44642"/>
    <s v="low sales volume and near expired"/>
    <n v="840501.50879999995"/>
    <x v="0"/>
    <n v="0"/>
    <n v="0"/>
    <x v="0"/>
    <x v="0"/>
  </r>
  <r>
    <x v="1"/>
    <x v="2"/>
    <n v="44628"/>
    <x v="3"/>
    <x v="0"/>
    <x v="12"/>
    <x v="2"/>
    <x v="68"/>
    <s v="Bibigo Kimchi cải thảo - ngò 500gr"/>
    <s v="Hộp"/>
    <n v="12"/>
    <n v="6"/>
    <d v="1899-12-30T12:00:00"/>
    <n v="44660"/>
    <s v="low sales volume and near expired"/>
    <n v="192001.08480000001"/>
    <x v="0"/>
    <n v="6"/>
    <n v="96000.542400000006"/>
    <x v="0"/>
    <x v="0"/>
  </r>
  <r>
    <x v="1"/>
    <x v="2"/>
    <n v="44628"/>
    <x v="3"/>
    <x v="0"/>
    <x v="12"/>
    <x v="2"/>
    <x v="68"/>
    <s v="Bibigo Kimchi cải thảo - ngò 500gr"/>
    <s v="Hộp"/>
    <n v="8"/>
    <n v="4"/>
    <d v="1899-12-30T12:00:00"/>
    <n v="44662"/>
    <s v="small quantity, low sales volume and near expired"/>
    <n v="128000.72319999999"/>
    <x v="0"/>
    <n v="0"/>
    <n v="0"/>
    <x v="0"/>
    <x v="0"/>
  </r>
  <r>
    <x v="1"/>
    <x v="2"/>
    <n v="44628"/>
    <x v="2"/>
    <x v="0"/>
    <x v="36"/>
    <x v="2"/>
    <x v="7"/>
    <s v="Nước Uống Collagen Innerb Glowshot ((50ML*6EA)*10EA/CT)"/>
    <s v="Hộp"/>
    <n v="3"/>
    <n v="0.8999999999999998"/>
    <d v="1899-12-30T07:12:00"/>
    <n v="44664"/>
    <s v="small quantity, low sales volume and near expired"/>
    <n v="155475.95819999999"/>
    <x v="0"/>
    <n v="3"/>
    <n v="155475.95819999999"/>
    <x v="0"/>
    <x v="0"/>
  </r>
  <r>
    <x v="1"/>
    <x v="2"/>
    <n v="44628"/>
    <x v="2"/>
    <x v="0"/>
    <x v="36"/>
    <x v="2"/>
    <x v="7"/>
    <s v="Nước Uống Collagen Innerb Glowshot ((50ML*6EA)*10EA/CT)"/>
    <s v="Hộp"/>
    <n v="3"/>
    <n v="0.8999999999999998"/>
    <d v="1899-12-30T07:12:00"/>
    <n v="44666"/>
    <s v="small quantity, low sales volume and near expired"/>
    <n v="155475.95819999999"/>
    <x v="0"/>
    <n v="3"/>
    <n v="155475.95819999999"/>
    <x v="0"/>
    <x v="0"/>
  </r>
  <r>
    <x v="1"/>
    <x v="2"/>
    <n v="44628"/>
    <x v="2"/>
    <x v="0"/>
    <x v="36"/>
    <x v="2"/>
    <x v="7"/>
    <s v="Nước Uống Collagen Innerb Glowshot ((50ML*6EA)*10EA/CT)"/>
    <s v="Hộp"/>
    <n v="58"/>
    <n v="17.399999999999999"/>
    <d v="1899-12-30T07:12:00"/>
    <n v="44704"/>
    <s v="low sales volume and near expired"/>
    <n v="3005868.5251999996"/>
    <x v="0"/>
    <n v="58"/>
    <n v="3005868.5251999996"/>
    <x v="0"/>
    <x v="0"/>
  </r>
  <r>
    <x v="1"/>
    <x v="2"/>
    <n v="44628"/>
    <x v="2"/>
    <x v="0"/>
    <x v="36"/>
    <x v="2"/>
    <x v="7"/>
    <s v="Nước Uống Collagen Innerb Glowshot ((50ML*6EA)*10EA/CT)"/>
    <s v="Hộp"/>
    <n v="14"/>
    <n v="4.2"/>
    <d v="1899-12-30T07:12:00"/>
    <n v="44767"/>
    <s v="low sales volume and near expired"/>
    <n v="263554.47159999993"/>
    <x v="0"/>
    <n v="14"/>
    <n v="263554.47159999993"/>
    <x v="0"/>
    <x v="0"/>
  </r>
  <r>
    <x v="1"/>
    <x v="2"/>
    <n v="44628"/>
    <x v="2"/>
    <x v="0"/>
    <x v="36"/>
    <x v="2"/>
    <x v="7"/>
    <s v="Nước Uống Collagen Innerb Glowshot ((50ML*6EA)*10EA/CT)"/>
    <s v="Hộp"/>
    <n v="5"/>
    <n v="1.5"/>
    <d v="1899-12-30T07:12:00"/>
    <n v="44798"/>
    <s v="small quantity, low sales volume and near expired"/>
    <n v="94126.596999999965"/>
    <x v="0"/>
    <n v="0"/>
    <n v="0"/>
    <x v="0"/>
    <x v="0"/>
  </r>
  <r>
    <x v="1"/>
    <x v="2"/>
    <n v="44628"/>
    <x v="2"/>
    <x v="0"/>
    <x v="36"/>
    <x v="2"/>
    <x v="7"/>
    <s v="Nước Uống Collagen Innerb Glowshot ((50ML*6EA)*10EA/CT)"/>
    <s v="Hộp"/>
    <n v="9"/>
    <n v="2.6999999999999997"/>
    <d v="1899-12-30T07:12:00"/>
    <n v="44799"/>
    <s v="small quantity, low sales volume and near expired"/>
    <n v="169427.87459999992"/>
    <x v="0"/>
    <n v="0"/>
    <n v="0"/>
    <x v="0"/>
    <x v="0"/>
  </r>
  <r>
    <x v="1"/>
    <x v="2"/>
    <n v="44634"/>
    <x v="2"/>
    <x v="0"/>
    <x v="36"/>
    <x v="0"/>
    <x v="7"/>
    <s v="Nước uống Collagen Innerb Glowshot ((50ML*6)*10EA/CT)"/>
    <s v="Set"/>
    <n v="13"/>
    <n v="3.9"/>
    <d v="1899-12-30T07:12:00"/>
    <n v="44644"/>
    <s v="sampling 8/3 and cannot use up before expiry date and near expired"/>
    <n v="667098.22650602413"/>
    <x v="0"/>
    <n v="13"/>
    <n v="667098.22650602413"/>
    <x v="0"/>
    <x v="0"/>
  </r>
  <r>
    <x v="1"/>
    <x v="2"/>
    <n v="44634"/>
    <x v="2"/>
    <x v="0"/>
    <x v="36"/>
    <x v="0"/>
    <x v="7"/>
    <s v="Nước uống Collagen Innerb Glowshot ((50ML*6)*10EA/CT)"/>
    <s v="Set"/>
    <n v="5"/>
    <n v="1.5"/>
    <d v="1899-12-30T07:12:00"/>
    <n v="44679"/>
    <s v="sampling 8/3 and cannot use up before expiry date and near expired"/>
    <n v="256576.24096385547"/>
    <x v="0"/>
    <n v="5"/>
    <n v="256576.24096385547"/>
    <x v="0"/>
    <x v="0"/>
  </r>
  <r>
    <x v="1"/>
    <x v="2"/>
    <n v="44634"/>
    <x v="2"/>
    <x v="0"/>
    <x v="36"/>
    <x v="0"/>
    <x v="7"/>
    <s v="Nước uống Collagen Innerb Glowshot ((50ML*6)*10EA/CT)"/>
    <s v="Set"/>
    <n v="1"/>
    <n v="0.3"/>
    <d v="1899-12-30T07:12:00"/>
    <n v="44679"/>
    <s v="sampling 8/3 and cannot use up before expiry date and near expired"/>
    <n v="51315.248192771091"/>
    <x v="0"/>
    <n v="1"/>
    <n v="51315.248192771091"/>
    <x v="0"/>
    <x v="0"/>
  </r>
  <r>
    <x v="1"/>
    <x v="2"/>
    <n v="44634"/>
    <x v="2"/>
    <x v="0"/>
    <x v="36"/>
    <x v="0"/>
    <x v="7"/>
    <s v="Nước uống Collagen Innerb Glowshot ((50ML*6)*10EA/CT)"/>
    <s v="Set"/>
    <n v="33"/>
    <n v="9.9"/>
    <d v="1899-12-30T07:12:00"/>
    <n v="44679"/>
    <s v="sampling 8/3 and cannot use up before expiry date and near expired"/>
    <n v="1693403.190361446"/>
    <x v="0"/>
    <n v="33"/>
    <n v="1693403.190361446"/>
    <x v="0"/>
    <x v="0"/>
  </r>
  <r>
    <x v="1"/>
    <x v="2"/>
    <n v="44634"/>
    <x v="2"/>
    <x v="0"/>
    <x v="36"/>
    <x v="0"/>
    <x v="138"/>
    <s v="Thực phẩm bảo vệ sức khỏe INNERB AQUA BANK (16.8G*20EA/CT)"/>
    <s v="Set"/>
    <n v="5"/>
    <n v="8.3999999999999977E-2"/>
    <d v="1899-12-30T00:24:12"/>
    <n v="44899"/>
    <s v="sampling 8/3 and cannot use up before expiry date and near expired"/>
    <n v="278965.11249999993"/>
    <x v="2"/>
    <n v="0"/>
    <n v="0"/>
    <x v="0"/>
    <x v="0"/>
  </r>
  <r>
    <x v="1"/>
    <x v="2"/>
    <n v="44634"/>
    <x v="5"/>
    <x v="0"/>
    <x v="23"/>
    <x v="0"/>
    <x v="84"/>
    <s v="Xúc xích heo vị Mexico (mini) hiệu REAL Gói 200g"/>
    <s v="Gói"/>
    <n v="2"/>
    <n v="0.4"/>
    <d v="1899-12-30T04:48:00"/>
    <n v="44660"/>
    <s v="small quantity, low sales volume and near expired"/>
    <n v="31128.264599999999"/>
    <x v="0"/>
    <n v="2"/>
    <n v="31128.264599999999"/>
    <x v="0"/>
    <x v="0"/>
  </r>
  <r>
    <x v="1"/>
    <x v="2"/>
    <n v="44634"/>
    <x v="5"/>
    <x v="0"/>
    <x v="23"/>
    <x v="0"/>
    <x v="77"/>
    <s v="Xúc xích heo kiểu Mexico hiệu REAL 200g"/>
    <s v="Gói"/>
    <n v="22"/>
    <n v="4.4000000000000004"/>
    <d v="1899-12-30T04:48:00"/>
    <n v="44660"/>
    <s v="small quantity, low sales volume and near expired"/>
    <n v="466400"/>
    <x v="0"/>
    <n v="22"/>
    <n v="466400"/>
    <x v="0"/>
    <x v="0"/>
  </r>
  <r>
    <x v="1"/>
    <x v="2"/>
    <n v="44634"/>
    <x v="7"/>
    <x v="0"/>
    <x v="37"/>
    <x v="2"/>
    <x v="205"/>
    <s v="Bột trộn sẵn Bánh Bao - gói 1kg"/>
    <s v="Gói"/>
    <n v="18"/>
    <n v="18"/>
    <d v="1899-12-31T00:00:00"/>
    <n v="44751"/>
    <s v="small quantity, low sales volume and near expired"/>
    <n v="273805.2"/>
    <x v="1"/>
    <n v="2"/>
    <n v="30422.800000000003"/>
    <x v="0"/>
    <x v="0"/>
  </r>
  <r>
    <x v="1"/>
    <x v="2"/>
    <n v="44634"/>
    <x v="7"/>
    <x v="0"/>
    <x v="37"/>
    <x v="2"/>
    <x v="206"/>
    <s v="Bột Bánh Mì - gói 1kg"/>
    <s v="Gói"/>
    <n v="8"/>
    <n v="8"/>
    <d v="1899-12-31T00:00:00"/>
    <n v="44730"/>
    <s v="small quantity, low sales volume and near expired"/>
    <n v="71300.709600000002"/>
    <x v="1"/>
    <n v="4"/>
    <n v="35650.354800000001"/>
    <x v="0"/>
    <x v="0"/>
  </r>
  <r>
    <x v="1"/>
    <x v="2"/>
    <n v="44634"/>
    <x v="0"/>
    <x v="0"/>
    <x v="3"/>
    <x v="2"/>
    <x v="204"/>
    <s v="Há Cảo Thượng Hạng 300g - CT tặng kèm Bánh Tiểu Long Nhân"/>
    <s v="Gói"/>
    <n v="19"/>
    <n v="5.7"/>
    <d v="1899-12-30T07:12:00"/>
    <n v="44873"/>
    <s v="small quantity, low sales volume and near expired"/>
    <n v="378099.98212605843"/>
    <x v="0"/>
    <n v="12"/>
    <n v="238799.98871119475"/>
    <x v="0"/>
    <x v="0"/>
  </r>
  <r>
    <x v="1"/>
    <x v="2"/>
    <n v="44634"/>
    <x v="2"/>
    <x v="0"/>
    <x v="36"/>
    <x v="2"/>
    <x v="7"/>
    <s v="Nước Uống Collagen Innerb Glowshot ((50ML*6EA)*10EA/CT)"/>
    <s v="Hộp"/>
    <n v="73"/>
    <n v="21.9"/>
    <d v="1899-12-30T07:12:00"/>
    <n v="44657"/>
    <s v="small quantity, low sales volume and near expired"/>
    <n v="3783248.3161999993"/>
    <x v="0"/>
    <n v="0"/>
    <n v="0"/>
    <x v="0"/>
    <x v="0"/>
  </r>
  <r>
    <x v="1"/>
    <x v="2"/>
    <n v="44634"/>
    <x v="0"/>
    <x v="0"/>
    <x v="18"/>
    <x v="2"/>
    <x v="83"/>
    <s v="BIBIGO Há cảo hấp 168G"/>
    <s v="Gói"/>
    <n v="8"/>
    <n v="1.3440000000000001"/>
    <d v="1899-12-30T04:01:55"/>
    <n v="44760"/>
    <s v="small quantity, low sales volume and near expired"/>
    <n v="109536"/>
    <x v="0"/>
    <n v="4"/>
    <n v="54768"/>
    <x v="0"/>
    <x v="0"/>
  </r>
  <r>
    <x v="1"/>
    <x v="2"/>
    <n v="44634"/>
    <x v="0"/>
    <x v="0"/>
    <x v="3"/>
    <x v="2"/>
    <x v="201"/>
    <s v="Bánh Tiểu Long nhân súp kiểu Thượng Hải nhân súp &amp; thịt - Gói 300g (hàng tặng cho HC Thượng Hạng)"/>
    <s v="Gói"/>
    <n v="24"/>
    <n v="7.1999999999999993"/>
    <d v="1899-12-30T07:12:00"/>
    <n v="44875"/>
    <s v="small quantity, low sales volume and near expired"/>
    <n v="297600"/>
    <x v="0"/>
    <n v="18"/>
    <n v="223200"/>
    <x v="0"/>
    <x v="0"/>
  </r>
  <r>
    <x v="1"/>
    <x v="2"/>
    <n v="44634"/>
    <x v="5"/>
    <x v="0"/>
    <x v="16"/>
    <x v="2"/>
    <x v="207"/>
    <s v="Lẩu thả Long Cung 300g (hàng tặng cho DX Bơ Tỏi)"/>
    <s v="Gói"/>
    <n v="14"/>
    <n v="4.2"/>
    <d v="1899-12-30T07:12:00"/>
    <n v="44854"/>
    <s v="small quantity, low sales volume and near expired"/>
    <n v="201600"/>
    <x v="0"/>
    <n v="14"/>
    <n v="201600"/>
    <x v="0"/>
    <x v="0"/>
  </r>
  <r>
    <x v="1"/>
    <x v="2"/>
    <n v="44644"/>
    <x v="8"/>
    <x v="1"/>
    <x v="22"/>
    <x v="3"/>
    <x v="208"/>
    <s v="TasteNrich Master U5 (HG)"/>
    <s v="Kg"/>
    <n v="32"/>
    <n v="32"/>
    <d v="1899-12-31T00:00:00"/>
    <n v="44694"/>
    <s v="Slow moving, near expired"/>
    <n v="6400000"/>
    <x v="0"/>
    <n v="32"/>
    <n v="6400000"/>
    <x v="0"/>
    <x v="0"/>
  </r>
  <r>
    <x v="1"/>
    <x v="2"/>
    <n v="44644"/>
    <x v="8"/>
    <x v="1"/>
    <x v="22"/>
    <x v="1"/>
    <x v="209"/>
    <s v="Màu thực phẩm (đỏ) PONCEAU 4R"/>
    <s v="Kg"/>
    <n v="3"/>
    <n v="3"/>
    <d v="1899-12-31T00:00:00"/>
    <n v="44973"/>
    <s v="No production plan and it is nearly expired"/>
    <n v="763908"/>
    <x v="0"/>
    <n v="0"/>
    <n v="0"/>
    <x v="0"/>
    <x v="0"/>
  </r>
  <r>
    <x v="1"/>
    <x v="2"/>
    <n v="44644"/>
    <x v="8"/>
    <x v="1"/>
    <x v="22"/>
    <x v="1"/>
    <x v="210"/>
    <s v="Nước sốt chua ngọt 1oz (Hủ) (TaiFong)"/>
    <s v="hủ"/>
    <n v="2700"/>
    <n v="81"/>
    <d v="1899-12-30T00:43:12"/>
    <n v="44743"/>
    <s v="No production plan and it is nearly expired"/>
    <n v="3401429.6296296297"/>
    <x v="1"/>
    <n v="400"/>
    <n v="503915.50068587105"/>
    <x v="0"/>
    <x v="0"/>
  </r>
  <r>
    <x v="1"/>
    <x v="2"/>
    <n v="44644"/>
    <x v="8"/>
    <x v="1"/>
    <x v="22"/>
    <x v="1"/>
    <x v="211"/>
    <s v="Nấm đông cô (khô) (VFR 001)"/>
    <s v="Kg"/>
    <n v="68"/>
    <n v="68"/>
    <d v="1899-12-31T00:00:00"/>
    <n v="44667"/>
    <s v="No production plan and it is nearly expired"/>
    <n v="14117359.692307694"/>
    <x v="0"/>
    <n v="68"/>
    <n v="14117359.692307694"/>
    <x v="0"/>
    <x v="0"/>
  </r>
  <r>
    <x v="1"/>
    <x v="2"/>
    <n v="44644"/>
    <x v="8"/>
    <x v="1"/>
    <x v="22"/>
    <x v="1"/>
    <x v="212"/>
    <s v="Bột nghệ Nano (TCA 001)"/>
    <s v="Kg"/>
    <n v="0.5"/>
    <n v="0.5"/>
    <d v="1899-12-31T00:00:00"/>
    <n v="44739"/>
    <s v="Slow moving, near expired"/>
    <n v="3285000"/>
    <x v="0"/>
    <n v="0.5"/>
    <n v="3285000"/>
    <x v="0"/>
    <x v="0"/>
  </r>
  <r>
    <x v="1"/>
    <x v="2"/>
    <n v="44644"/>
    <x v="8"/>
    <x v="1"/>
    <x v="22"/>
    <x v="1"/>
    <x v="213"/>
    <s v="Bột chiên Gà Nugget 10 Kg"/>
    <s v="Kg"/>
    <n v="670"/>
    <n v="670"/>
    <d v="1899-12-31T00:00:00"/>
    <n v="44695"/>
    <s v="Slow moving and cannot be used up before expiry date"/>
    <n v="19430000"/>
    <x v="0"/>
    <n v="0"/>
    <n v="0"/>
    <x v="0"/>
    <x v="0"/>
  </r>
  <r>
    <x v="1"/>
    <x v="2"/>
    <n v="44644"/>
    <x v="8"/>
    <x v="1"/>
    <x v="22"/>
    <x v="1"/>
    <x v="150"/>
    <s v="Bột trộn sẵn Breader 10 Kg"/>
    <s v="Kg"/>
    <n v="147"/>
    <n v="147"/>
    <d v="1899-12-31T00:00:00"/>
    <n v="44695"/>
    <s v="Slow moving and cannot be used up before expiry date"/>
    <n v="4557000"/>
    <x v="0"/>
    <n v="0"/>
    <n v="0"/>
    <x v="0"/>
    <x v="0"/>
  </r>
  <r>
    <x v="1"/>
    <x v="2"/>
    <n v="44644"/>
    <x v="8"/>
    <x v="1"/>
    <x v="22"/>
    <x v="1"/>
    <x v="214"/>
    <s v="Bột phô mai cay"/>
    <s v="Kg"/>
    <n v="60"/>
    <n v="60"/>
    <d v="1899-12-31T00:00:00"/>
    <n v="44768"/>
    <s v="Slow moving and cannot be used up before expiry date"/>
    <n v="11809104.705882354"/>
    <x v="1"/>
    <n v="11"/>
    <n v="2165002.5294117648"/>
    <x v="0"/>
    <x v="0"/>
  </r>
  <r>
    <x v="1"/>
    <x v="2"/>
    <n v="44644"/>
    <x v="8"/>
    <x v="1"/>
    <x v="22"/>
    <x v="1"/>
    <x v="155"/>
    <s v="Hạt Sen Đông Lạnh"/>
    <s v="Kg"/>
    <n v="284"/>
    <n v="284"/>
    <d v="1899-12-31T00:00:00"/>
    <n v="44684"/>
    <s v="Slow moving, raised internal sales (11.2021) but cannot clear stock before expiry date"/>
    <n v="37772000"/>
    <x v="0"/>
    <n v="284"/>
    <n v="37772000"/>
    <x v="0"/>
    <x v="0"/>
  </r>
  <r>
    <x v="1"/>
    <x v="2"/>
    <n v="44645"/>
    <x v="7"/>
    <x v="0"/>
    <x v="37"/>
    <x v="0"/>
    <x v="205"/>
    <s v="Bột trộn sẵn Bánh Bao - gói 1kg"/>
    <s v="Gói"/>
    <n v="40"/>
    <n v="40"/>
    <d v="1899-12-31T00:00:00"/>
    <n v="44708"/>
    <s v="Slow moving, low sales volume and nearly expired"/>
    <n v="688455.78800000006"/>
    <x v="0"/>
    <n v="40"/>
    <n v="688455.78800000006"/>
    <x v="0"/>
    <x v="0"/>
  </r>
  <r>
    <x v="1"/>
    <x v="2"/>
    <n v="44645"/>
    <x v="7"/>
    <x v="0"/>
    <x v="37"/>
    <x v="0"/>
    <x v="206"/>
    <s v="Bột bánh Mì - Gói 1kg"/>
    <s v="Gói"/>
    <n v="160"/>
    <n v="160"/>
    <d v="1899-12-31T00:00:00"/>
    <n v="44710"/>
    <s v="Slow moving, low sales volume and nearly expired"/>
    <n v="1586014.192"/>
    <x v="0"/>
    <n v="150"/>
    <n v="1486888.3049999999"/>
    <x v="0"/>
    <x v="0"/>
  </r>
  <r>
    <x v="1"/>
    <x v="2"/>
    <n v="44645"/>
    <x v="7"/>
    <x v="0"/>
    <x v="37"/>
    <x v="0"/>
    <x v="215"/>
    <s v="Bột trộn sẵn bánh Bông Lan Easy - gói 1Kg"/>
    <s v="Gói"/>
    <n v="60"/>
    <n v="60"/>
    <d v="1899-12-31T00:00:00"/>
    <n v="44718"/>
    <s v="Slow moving, low sales volume and nearly expired"/>
    <n v="1148220"/>
    <x v="0"/>
    <n v="60"/>
    <n v="1148220"/>
    <x v="0"/>
    <x v="0"/>
  </r>
  <r>
    <x v="1"/>
    <x v="2"/>
    <n v="44645"/>
    <x v="7"/>
    <x v="0"/>
    <x v="35"/>
    <x v="0"/>
    <x v="216"/>
    <s v="부침가루 1KGBột chiên bánh xèo"/>
    <s v="EA"/>
    <n v="4"/>
    <n v="4"/>
    <d v="1899-12-31T00:00:00"/>
    <n v="44816"/>
    <s v="Slow moving, small volume and nearly expired"/>
    <n v="32524.17333333334"/>
    <x v="0"/>
    <n v="4"/>
    <n v="32524.17333333334"/>
    <x v="0"/>
    <x v="0"/>
  </r>
  <r>
    <x v="1"/>
    <x v="2"/>
    <n v="44645"/>
    <x v="0"/>
    <x v="0"/>
    <x v="35"/>
    <x v="0"/>
    <x v="62"/>
    <s v="Bánh Mandu Thịt CJ Bibigo - gói 1.505kg- Thùng 9,03 kg"/>
    <s v="Gói"/>
    <n v="4"/>
    <n v="6.02"/>
    <d v="1899-12-31T12:07:12"/>
    <n v="44885"/>
    <s v="Damaged: Lỗi rách bao bì, rách nhỏ- Lỗi phát hiện trong kho"/>
    <n v="242625.01519999999"/>
    <x v="0"/>
    <n v="4"/>
    <n v="242625.01519999999"/>
    <x v="0"/>
    <x v="0"/>
  </r>
  <r>
    <x v="1"/>
    <x v="2"/>
    <n v="44645"/>
    <x v="5"/>
    <x v="0"/>
    <x v="35"/>
    <x v="0"/>
    <x v="217"/>
    <s v="Bò viên Cầu Tre - Gói 200G"/>
    <s v="Gói"/>
    <n v="2"/>
    <n v="0.4"/>
    <d v="1899-12-30T04:48:00"/>
    <n v="44969"/>
    <s v="Damaged: Lỗi long chân không- Lỗi phát hiện trong kho"/>
    <n v="20106"/>
    <x v="0"/>
    <n v="2"/>
    <n v="20106"/>
    <x v="0"/>
    <x v="0"/>
  </r>
  <r>
    <x v="1"/>
    <x v="2"/>
    <n v="44645"/>
    <x v="5"/>
    <x v="0"/>
    <x v="35"/>
    <x v="0"/>
    <x v="27"/>
    <s v="Bò viên ngon Cầu Tre 500gr"/>
    <s v="Gói"/>
    <n v="1"/>
    <n v="0.5"/>
    <d v="1899-12-30T12:00:00"/>
    <n v="44950"/>
    <s v="Damaged: Lỗi long chân không- Lỗi phát hiện trong kho"/>
    <n v="20797.400000000001"/>
    <x v="0"/>
    <n v="1"/>
    <n v="20797.400000000001"/>
    <x v="0"/>
    <x v="0"/>
  </r>
  <r>
    <x v="1"/>
    <x v="2"/>
    <n v="44645"/>
    <x v="5"/>
    <x v="0"/>
    <x v="35"/>
    <x v="0"/>
    <x v="27"/>
    <s v="Bò viên ngon Cầu Tre 500gr"/>
    <s v="Gói"/>
    <n v="1"/>
    <n v="0.5"/>
    <d v="1899-12-30T12:00:00"/>
    <n v="44974"/>
    <s v="Damaged: Lỗi long chân không- Phát hiện khi giao hàng PXK212202T1474"/>
    <n v="20797.400000000001"/>
    <x v="0"/>
    <n v="1"/>
    <n v="20797.400000000001"/>
    <x v="0"/>
    <x v="0"/>
  </r>
  <r>
    <x v="1"/>
    <x v="2"/>
    <n v="44645"/>
    <x v="5"/>
    <x v="0"/>
    <x v="35"/>
    <x v="0"/>
    <x v="27"/>
    <s v="Bò viên ngon Cầu Tre 500gr"/>
    <s v="Gói"/>
    <n v="1"/>
    <n v="0.5"/>
    <d v="1899-12-30T12:00:00"/>
    <n v="44974"/>
    <s v="Damaged: Lỗi long chân không- Lỗi phát hiện trong kho"/>
    <n v="20797.400000000001"/>
    <x v="0"/>
    <n v="1"/>
    <n v="20797.400000000001"/>
    <x v="0"/>
    <x v="0"/>
  </r>
  <r>
    <x v="1"/>
    <x v="2"/>
    <n v="44645"/>
    <x v="5"/>
    <x v="0"/>
    <x v="35"/>
    <x v="0"/>
    <x v="27"/>
    <s v="Bò viên ngon Cầu Tre 500gr"/>
    <s v="Gói"/>
    <n v="1"/>
    <n v="0.5"/>
    <d v="1899-12-30T12:00:00"/>
    <n v="44979"/>
    <s v="Damaged: Lỗi long chân không- Lỗi phát hiện trong kho"/>
    <n v="20797.400000000001"/>
    <x v="0"/>
    <n v="1"/>
    <n v="20797.400000000001"/>
    <x v="0"/>
    <x v="0"/>
  </r>
  <r>
    <x v="1"/>
    <x v="2"/>
    <n v="44645"/>
    <x v="5"/>
    <x v="0"/>
    <x v="35"/>
    <x v="0"/>
    <x v="46"/>
    <s v="Cá viên ngon Cầu Tre 500gr"/>
    <s v="Gói"/>
    <n v="1"/>
    <n v="0.5"/>
    <d v="1899-12-30T12:00:00"/>
    <n v="44929"/>
    <s v="Damaged: Lỗi long chân không- Lỗi phát hiện trong kho"/>
    <n v="6600.3272727272742"/>
    <x v="0"/>
    <n v="1"/>
    <n v="6600.3272727272742"/>
    <x v="0"/>
    <x v="0"/>
  </r>
  <r>
    <x v="1"/>
    <x v="2"/>
    <n v="44645"/>
    <x v="5"/>
    <x v="0"/>
    <x v="35"/>
    <x v="0"/>
    <x v="46"/>
    <s v="Cá viên ngon Cầu Tre 500gr"/>
    <s v="Gói"/>
    <n v="2"/>
    <n v="1"/>
    <d v="1899-12-30T12:00:00"/>
    <n v="44932"/>
    <s v="Damaged: Lỗi long chân không- Lỗi phát hiện trong kho"/>
    <n v="13200.654545454548"/>
    <x v="0"/>
    <n v="2"/>
    <n v="13200.654545454548"/>
    <x v="0"/>
    <x v="0"/>
  </r>
  <r>
    <x v="1"/>
    <x v="2"/>
    <n v="44645"/>
    <x v="0"/>
    <x v="0"/>
    <x v="18"/>
    <x v="1"/>
    <x v="103"/>
    <s v="Mandu Bibigo Bán Nội Bộ - Gói 654G"/>
    <s v="Gói"/>
    <n v="8"/>
    <n v="5.2320000000000002"/>
    <d v="1899-12-30T09:36:00"/>
    <n v="44698"/>
    <s v="Raised internal sales in Jan 2022 and cannot clear the remaining stock before expiry date"/>
    <n v="110880.5"/>
    <x v="0"/>
    <n v="8"/>
    <n v="110880.5"/>
    <x v="0"/>
    <x v="0"/>
  </r>
  <r>
    <x v="1"/>
    <x v="2"/>
    <n v="44645"/>
    <x v="2"/>
    <x v="0"/>
    <x v="35"/>
    <x v="2"/>
    <x v="7"/>
    <s v="Nước Uống Collagen Innerb Glowshot ((50ML*6EA)*10EA/CT)"/>
    <s v="Hộp"/>
    <n v="12"/>
    <n v="3.5999999999999996"/>
    <d v="1899-12-30T07:12:00"/>
    <n v="44679"/>
    <s v="Slow moving, low sales volume and nearly expired"/>
    <n v="621903.83279999997"/>
    <x v="0"/>
    <n v="12"/>
    <n v="621903.83279999997"/>
    <x v="0"/>
    <x v="0"/>
  </r>
  <r>
    <x v="1"/>
    <x v="2"/>
    <n v="44645"/>
    <x v="0"/>
    <x v="0"/>
    <x v="35"/>
    <x v="2"/>
    <x v="62"/>
    <s v="Bánh Mandu Thịt CJ Bibigo - gói 1.505kg- Thùng 9,03 kg"/>
    <s v="Gói"/>
    <n v="3"/>
    <n v="4.5149999999999997"/>
    <d v="1899-12-31T12:07:12"/>
    <n v="44885"/>
    <s v="Slow moving, small volume and nearly expired"/>
    <n v="181968.76139999999"/>
    <x v="1"/>
    <n v="0"/>
    <n v="0"/>
    <x v="0"/>
    <x v="0"/>
  </r>
  <r>
    <x v="1"/>
    <x v="2"/>
    <n v="44645"/>
    <x v="0"/>
    <x v="0"/>
    <x v="35"/>
    <x v="2"/>
    <x v="203"/>
    <s v="Bánh Mandu Hải Sản CJ Bibigo – Gói 350g (GT) Không khay - QC 24 gói/thùng"/>
    <s v="Gói"/>
    <n v="3"/>
    <n v="1.0499999999999998"/>
    <d v="1899-12-30T08:24:00"/>
    <n v="44883"/>
    <s v="Slow moving, small volume and nearly expired"/>
    <n v="40812.053699999997"/>
    <x v="0"/>
    <n v="3"/>
    <n v="40812.053699999997"/>
    <x v="0"/>
    <x v="0"/>
  </r>
  <r>
    <x v="1"/>
    <x v="2"/>
    <n v="44645"/>
    <x v="5"/>
    <x v="0"/>
    <x v="35"/>
    <x v="2"/>
    <x v="74"/>
    <s v="Chả Bò Quết Thượng Hạng 500g (mát)"/>
    <s v="Gói"/>
    <n v="131"/>
    <n v="65.5"/>
    <d v="1899-12-30T12:00:00"/>
    <n v="44659"/>
    <s v="Slow moving, low sales volume and nearly expired"/>
    <n v="8908000"/>
    <x v="0"/>
    <n v="131"/>
    <n v="8908000"/>
    <x v="0"/>
    <x v="0"/>
  </r>
  <r>
    <x v="1"/>
    <x v="2"/>
    <n v="44645"/>
    <x v="5"/>
    <x v="0"/>
    <x v="35"/>
    <x v="2"/>
    <x v="74"/>
    <s v="Chả Bò Quết Thượng Hạng 500g (mát)"/>
    <s v="Gói"/>
    <n v="111"/>
    <n v="55.5"/>
    <d v="1899-12-30T12:00:00"/>
    <n v="44662"/>
    <s v="Slow moving, low sales volume and nearly expired"/>
    <n v="7548000"/>
    <x v="0"/>
    <n v="111"/>
    <n v="7548000"/>
    <x v="0"/>
    <x v="0"/>
  </r>
  <r>
    <x v="1"/>
    <x v="2"/>
    <n v="44645"/>
    <x v="5"/>
    <x v="0"/>
    <x v="35"/>
    <x v="2"/>
    <x v="181"/>
    <s v="Chả lụa quết Cầu Tre - Chả bì 500gr"/>
    <s v="Gói"/>
    <n v="181"/>
    <n v="90.5"/>
    <d v="1899-12-30T12:00:00"/>
    <n v="44652"/>
    <s v="Slow moving, low sales volume and nearly expired"/>
    <n v="12706200"/>
    <x v="0"/>
    <n v="0"/>
    <n v="0"/>
    <x v="0"/>
    <x v="0"/>
  </r>
  <r>
    <x v="1"/>
    <x v="2"/>
    <n v="44645"/>
    <x v="5"/>
    <x v="0"/>
    <x v="35"/>
    <x v="2"/>
    <x v="183"/>
    <s v="Chả lụa quết Cầu Tre - Chả bì ớt xiêm xanh 500gr"/>
    <s v="Gói"/>
    <n v="15"/>
    <n v="7.5"/>
    <d v="1899-12-30T12:00:00"/>
    <n v="44656"/>
    <s v="Slow moving, low sales volume and nearly expired"/>
    <n v="810000"/>
    <x v="0"/>
    <n v="15"/>
    <n v="810000"/>
    <x v="0"/>
    <x v="0"/>
  </r>
  <r>
    <x v="1"/>
    <x v="2"/>
    <n v="44645"/>
    <x v="5"/>
    <x v="0"/>
    <x v="35"/>
    <x v="2"/>
    <x v="183"/>
    <s v="Chả lụa quết Cầu Tre - Chả bì ớt xiêm xanh 500gr"/>
    <s v="Gói"/>
    <n v="1599"/>
    <n v="799.5"/>
    <d v="1899-12-30T12:00:00"/>
    <n v="44659"/>
    <s v="Slow moving, low sales volume and nearly expired"/>
    <n v="86346000"/>
    <x v="0"/>
    <n v="555"/>
    <n v="29970000"/>
    <x v="0"/>
    <x v="0"/>
  </r>
  <r>
    <x v="1"/>
    <x v="2"/>
    <n v="44649"/>
    <x v="8"/>
    <x v="1"/>
    <x v="22"/>
    <x v="3"/>
    <x v="211"/>
    <s v="Nấm đông cô (khô)"/>
    <s v="Kg"/>
    <n v="13"/>
    <m/>
    <d v="1899-12-31T00:00:00"/>
    <n v="44667"/>
    <s v="Cannot be used up for production before expiry date"/>
    <n v="2698907"/>
    <x v="0"/>
    <n v="13"/>
    <n v="2698907"/>
    <x v="0"/>
    <x v="0"/>
  </r>
  <r>
    <x v="1"/>
    <x v="2"/>
    <n v="44649"/>
    <x v="8"/>
    <x v="1"/>
    <x v="22"/>
    <x v="1"/>
    <x v="211"/>
    <s v="Nấm đông cô (khô)"/>
    <s v="Kg"/>
    <n v="4"/>
    <m/>
    <d v="1899-12-31T00:00:00"/>
    <n v="44667"/>
    <s v="Cannot be used up for production before expiry date"/>
    <n v="830432.92307692324"/>
    <x v="0"/>
    <n v="4"/>
    <n v="830432.92307692324"/>
    <x v="0"/>
    <x v="0"/>
  </r>
  <r>
    <x v="1"/>
    <x v="2"/>
    <n v="44649"/>
    <x v="8"/>
    <x v="1"/>
    <x v="22"/>
    <x v="1"/>
    <x v="212"/>
    <s v="Bột nghệ Nano (TCA 001)"/>
    <s v="Kg"/>
    <n v="0.49399999999999999"/>
    <m/>
    <d v="1899-12-31T00:00:00"/>
    <n v="44739"/>
    <s v="Cannot be used up for production before expiry date"/>
    <n v="3245580"/>
    <x v="1"/>
    <n v="0.49399999999999999"/>
    <n v="3245580"/>
    <x v="0"/>
    <x v="0"/>
  </r>
  <r>
    <x v="1"/>
    <x v="3"/>
    <n v="44655"/>
    <x v="0"/>
    <x v="0"/>
    <x v="35"/>
    <x v="0"/>
    <x v="187"/>
    <s v="Mandu Bibigo Hải sản Gói 350g Tặng Mandu Bibigo Thịt &amp; bắp Gói 175g"/>
    <s v="Gói"/>
    <n v="4"/>
    <n v="1.4"/>
    <d v="1899-12-30T12:36:00"/>
    <n v="44903"/>
    <s v="Slow moving, small quantity"/>
    <n v="115022.85714285712"/>
    <x v="0"/>
    <n v="4"/>
    <n v="115022.85714285712"/>
    <x v="0"/>
    <x v="0"/>
  </r>
  <r>
    <x v="1"/>
    <x v="3"/>
    <n v="44655"/>
    <x v="2"/>
    <x v="0"/>
    <x v="35"/>
    <x v="0"/>
    <x v="139"/>
    <s v="이너비  Thực phẩm bảo vệ sức khỏe INNERB AQUA RICH (33.6G*20EA/CT)"/>
    <s v="EA"/>
    <n v="1"/>
    <n v="3.3599999999999998E-2"/>
    <d v="1899-12-30T00:48:23"/>
    <n v="44980"/>
    <s v="Slow moving, small quantity"/>
    <n v="38277.438599999994"/>
    <x v="0"/>
    <n v="1"/>
    <n v="38277.438599999994"/>
    <x v="0"/>
    <x v="0"/>
  </r>
  <r>
    <x v="1"/>
    <x v="3"/>
    <n v="44655"/>
    <x v="7"/>
    <x v="0"/>
    <x v="35"/>
    <x v="0"/>
    <x v="132"/>
    <s v="Canh Hàn Quốc - Canh tương đậu hũ 4.3g x 10 gói"/>
    <s v="Hộp"/>
    <n v="58"/>
    <n v="2.4940000000000002"/>
    <d v="1899-12-30T01:01:55"/>
    <n v="44753"/>
    <s v="Slow moving, small quantity and nearly expired"/>
    <n v="1371120.0058000002"/>
    <x v="0"/>
    <n v="58"/>
    <n v="1371120.0058000002"/>
    <x v="0"/>
    <x v="0"/>
  </r>
  <r>
    <x v="1"/>
    <x v="3"/>
    <n v="44655"/>
    <x v="5"/>
    <x v="0"/>
    <x v="35"/>
    <x v="2"/>
    <x v="43"/>
    <s v="Chả Cá Quết - Chả Cá Kiểu Nha Trang 280G (mát)"/>
    <s v="Gói"/>
    <n v="3"/>
    <n v="0.84"/>
    <d v="1899-12-30T06:43:12"/>
    <n v="44675"/>
    <s v="Slow moving, small quantity and will be expired in this April"/>
    <n v="43810.048499999997"/>
    <x v="0"/>
    <n v="3"/>
    <n v="43810.048499999997"/>
    <x v="0"/>
    <x v="0"/>
  </r>
  <r>
    <x v="1"/>
    <x v="3"/>
    <n v="44655"/>
    <x v="1"/>
    <x v="0"/>
    <x v="35"/>
    <x v="2"/>
    <x v="218"/>
    <s v="Cầu Tre Pure bún tươi 300g"/>
    <s v="Gói"/>
    <n v="7"/>
    <n v="2.1"/>
    <d v="1899-12-30T07:12:00"/>
    <n v="44867"/>
    <s v="Slow moving, small quantity"/>
    <n v="52500"/>
    <x v="0"/>
    <n v="37"/>
    <n v="277500"/>
    <x v="0"/>
    <x v="0"/>
  </r>
  <r>
    <x v="1"/>
    <x v="3"/>
    <n v="44655"/>
    <x v="1"/>
    <x v="0"/>
    <x v="35"/>
    <x v="2"/>
    <x v="117"/>
    <s v="Cầu Tre Pure bún tươi 150g"/>
    <s v="Gói"/>
    <n v="29"/>
    <n v="4.3499999999999996"/>
    <d v="1899-12-30T03:36:00"/>
    <n v="44859"/>
    <s v="Slow moving, small quantity"/>
    <n v="124685.5"/>
    <x v="1"/>
    <n v="0"/>
    <n v="0"/>
    <x v="0"/>
    <x v="0"/>
  </r>
  <r>
    <x v="1"/>
    <x v="3"/>
    <n v="44655"/>
    <x v="1"/>
    <x v="0"/>
    <x v="35"/>
    <x v="2"/>
    <x v="117"/>
    <s v="Cầu Tre Pure bún tươi 150g"/>
    <s v="Gói"/>
    <n v="26"/>
    <n v="3.9"/>
    <d v="1899-12-30T03:36:00"/>
    <n v="44871"/>
    <s v="Slow moving, small quantity"/>
    <n v="111787"/>
    <x v="0"/>
    <n v="26"/>
    <n v="111787"/>
    <x v="0"/>
    <x v="0"/>
  </r>
  <r>
    <x v="1"/>
    <x v="3"/>
    <n v="44655"/>
    <x v="7"/>
    <x v="0"/>
    <x v="37"/>
    <x v="2"/>
    <x v="219"/>
    <s v="Bột mì đa dụng - gói 1kg"/>
    <s v="Gói"/>
    <n v="375"/>
    <n v="375"/>
    <d v="1899-12-31T00:00:00"/>
    <n v="44736"/>
    <s v="Slow moving, cannot be cleared via promotion on Lazada"/>
    <n v="2786250"/>
    <x v="1"/>
    <n v="151"/>
    <n v="1121930"/>
    <x v="0"/>
    <x v="0"/>
  </r>
  <r>
    <x v="1"/>
    <x v="3"/>
    <n v="44655"/>
    <x v="7"/>
    <x v="0"/>
    <x v="37"/>
    <x v="2"/>
    <x v="215"/>
    <s v="Bột trộn sẵn bánh Bông Lan Easy - gói 1kg"/>
    <s v="Gói"/>
    <n v="157"/>
    <n v="157"/>
    <d v="1899-12-31T00:00:00"/>
    <n v="44719"/>
    <s v="Slow moving, cannot be cleared via promotion on Lazada"/>
    <n v="3004509"/>
    <x v="1"/>
    <n v="2"/>
    <n v="38274"/>
    <x v="0"/>
    <x v="0"/>
  </r>
  <r>
    <x v="1"/>
    <x v="3"/>
    <n v="44655"/>
    <x v="7"/>
    <x v="0"/>
    <x v="37"/>
    <x v="2"/>
    <x v="215"/>
    <s v="Bột trộn sẵn bánh Bông Lan Easy - gói 1kg"/>
    <s v="Gói"/>
    <n v="496"/>
    <n v="496"/>
    <d v="1899-12-31T00:00:00"/>
    <n v="44720"/>
    <s v="Slow moving, cannot be cleared via promotion on Lazada"/>
    <n v="9491952"/>
    <x v="1"/>
    <n v="240"/>
    <n v="4592880"/>
    <x v="0"/>
    <x v="0"/>
  </r>
  <r>
    <x v="1"/>
    <x v="3"/>
    <n v="44655"/>
    <x v="7"/>
    <x v="0"/>
    <x v="37"/>
    <x v="2"/>
    <x v="82"/>
    <s v="Bột Chiên Giòn 150G"/>
    <s v="Túi"/>
    <n v="17"/>
    <n v="2.5499999999999998"/>
    <d v="1899-12-30T03:36:00"/>
    <n v="44896"/>
    <s v="Slow moving, small quantity"/>
    <n v="45896.837209302328"/>
    <x v="1"/>
    <n v="9"/>
    <n v="24298.325581395351"/>
    <x v="0"/>
    <x v="0"/>
  </r>
  <r>
    <x v="1"/>
    <x v="3"/>
    <n v="44655"/>
    <x v="0"/>
    <x v="0"/>
    <x v="35"/>
    <x v="2"/>
    <x v="220"/>
    <s v="BIBIGO Hoành thánh Mini  370G"/>
    <s v="Gói"/>
    <n v="9"/>
    <n v="3.33"/>
    <d v="1899-12-30T08:52:48"/>
    <n v="44720"/>
    <s v="Slow moving, small quantity and nearly expired"/>
    <n v="271467.45540000004"/>
    <x v="0"/>
    <n v="9"/>
    <n v="271467.45540000004"/>
    <x v="0"/>
    <x v="0"/>
  </r>
  <r>
    <x v="1"/>
    <x v="3"/>
    <n v="44655"/>
    <x v="2"/>
    <x v="0"/>
    <x v="35"/>
    <x v="2"/>
    <x v="221"/>
    <s v="Nước trái cây đậm đặc lên men tự nhiên Micho vị đào 900ml"/>
    <s v="Chai"/>
    <n v="86"/>
    <n v="77.400000000000006"/>
    <d v="1899-12-30T21:36:00"/>
    <n v="44826"/>
    <s v="Slow moving, cannot be cleared via promotion on Lazada"/>
    <n v="3069076.1864"/>
    <x v="0"/>
    <n v="0"/>
    <n v="0"/>
    <x v="0"/>
    <x v="0"/>
  </r>
  <r>
    <x v="1"/>
    <x v="3"/>
    <n v="44655"/>
    <x v="5"/>
    <x v="0"/>
    <x v="35"/>
    <x v="2"/>
    <x v="26"/>
    <s v="Chả cá viên 500g"/>
    <s v="Túi"/>
    <n v="402"/>
    <n v="201"/>
    <d v="1899-12-30T12:00:00"/>
    <n v="44683"/>
    <s v="BHX off code, low sales volume, nearly expired"/>
    <n v="7597799.8392000012"/>
    <x v="0"/>
    <n v="54"/>
    <n v="1020599.9784"/>
    <x v="0"/>
    <x v="0"/>
  </r>
  <r>
    <x v="1"/>
    <x v="3"/>
    <n v="44655"/>
    <x v="5"/>
    <x v="0"/>
    <x v="35"/>
    <x v="2"/>
    <x v="26"/>
    <s v="Chả cá viên 500g"/>
    <s v="Túi"/>
    <n v="138"/>
    <n v="69"/>
    <d v="1899-12-30T12:00:00"/>
    <n v="44688"/>
    <s v="BHX off code, low sales volume, nearly expired"/>
    <n v="2608199.9448000002"/>
    <x v="1"/>
    <n v="0"/>
    <n v="0"/>
    <x v="0"/>
    <x v="0"/>
  </r>
  <r>
    <x v="1"/>
    <x v="3"/>
    <n v="44655"/>
    <x v="5"/>
    <x v="0"/>
    <x v="35"/>
    <x v="2"/>
    <x v="26"/>
    <s v="Chả cá viên 500g"/>
    <s v="Túi"/>
    <n v="960"/>
    <n v="480"/>
    <d v="1899-12-30T12:00:00"/>
    <n v="44690"/>
    <s v="BHX off code, low sales volume, nearly expired"/>
    <n v="18143999.616000004"/>
    <x v="1"/>
    <n v="0"/>
    <n v="0"/>
    <x v="0"/>
    <x v="0"/>
  </r>
  <r>
    <x v="1"/>
    <x v="3"/>
    <n v="44655"/>
    <x v="0"/>
    <x v="0"/>
    <x v="35"/>
    <x v="2"/>
    <x v="151"/>
    <s v="Bánh Mandu Thịt và Bắp CJ Bibigo - Gói 1.505Kg - Thùng 9,03Kg"/>
    <s v="Gói"/>
    <n v="1"/>
    <n v="1.5049999999999999"/>
    <d v="1899-12-31T12:07:12"/>
    <n v="44904"/>
    <s v="Slow moving, small quantity"/>
    <n v="68403.342857142852"/>
    <x v="0"/>
    <n v="0"/>
    <n v="0"/>
    <x v="0"/>
    <x v="0"/>
  </r>
  <r>
    <x v="1"/>
    <x v="3"/>
    <n v="44655"/>
    <x v="0"/>
    <x v="0"/>
    <x v="35"/>
    <x v="2"/>
    <x v="144"/>
    <s v="Bánh Mandu Hải Sản CJ Bibigo - Gói 1.505Kg - Thùng 9,03Kg"/>
    <s v="Gói"/>
    <n v="2"/>
    <n v="3.01"/>
    <d v="1899-12-31T12:07:12"/>
    <n v="44846"/>
    <s v="Slow moving, small quantity"/>
    <n v="132800"/>
    <x v="0"/>
    <n v="0"/>
    <n v="0"/>
    <x v="0"/>
    <x v="0"/>
  </r>
  <r>
    <x v="1"/>
    <x v="3"/>
    <n v="44655"/>
    <x v="0"/>
    <x v="0"/>
    <x v="35"/>
    <x v="2"/>
    <x v="222"/>
    <s v="Há Cảo Nhân Tôm Cải Bó Xôi - Gói 300G"/>
    <s v="Gói"/>
    <n v="5"/>
    <n v="1.5"/>
    <d v="1899-12-30T07:12:00"/>
    <n v="44865"/>
    <s v="Slow moving, small quantity"/>
    <n v="127136.02941176471"/>
    <x v="0"/>
    <n v="5"/>
    <n v="127136.02941176471"/>
    <x v="0"/>
    <x v="0"/>
  </r>
  <r>
    <x v="1"/>
    <x v="3"/>
    <n v="44655"/>
    <x v="6"/>
    <x v="0"/>
    <x v="35"/>
    <x v="2"/>
    <x v="28"/>
    <s v="Snack Rong biển Bibigo vị Bắp Mật Ong 25gr"/>
    <s v="Gói"/>
    <n v="295"/>
    <n v="7.375"/>
    <d v="1899-12-30T00:36:00"/>
    <n v="44703"/>
    <s v="Slow moving, cannot be cleared via promotion on Lazada, nearly expired"/>
    <n v="2481841.5555555555"/>
    <x v="0"/>
    <n v="155"/>
    <n v="1304018.4444444445"/>
    <x v="0"/>
    <x v="0"/>
  </r>
  <r>
    <x v="1"/>
    <x v="3"/>
    <n v="44664"/>
    <x v="8"/>
    <x v="1"/>
    <x v="22"/>
    <x v="3"/>
    <x v="211"/>
    <s v="Nấm đông cô (khô)"/>
    <s v="Kg"/>
    <n v="4.41"/>
    <n v="4.41"/>
    <d v="1899-12-31T00:00:00"/>
    <n v="44667"/>
    <s v="Cannot be used up for production before expiry date"/>
    <n v="915552.29769230774"/>
    <x v="0"/>
    <n v="4.41"/>
    <n v="915552.29769230774"/>
    <x v="0"/>
    <x v="0"/>
  </r>
  <r>
    <x v="1"/>
    <x v="3"/>
    <n v="44664"/>
    <x v="8"/>
    <x v="1"/>
    <x v="22"/>
    <x v="1"/>
    <x v="163"/>
    <s v="Hương thịt bò YX-90305"/>
    <s v="Kg"/>
    <n v="9"/>
    <n v="9"/>
    <d v="1899-12-31T00:00:00"/>
    <n v="44854"/>
    <s v="No production plan and nearly expired"/>
    <n v="3078000"/>
    <x v="1"/>
    <n v="0"/>
    <n v="0"/>
    <x v="0"/>
    <x v="0"/>
  </r>
  <r>
    <x v="1"/>
    <x v="3"/>
    <n v="44664"/>
    <x v="8"/>
    <x v="1"/>
    <x v="22"/>
    <x v="1"/>
    <x v="223"/>
    <s v="Mắm ruốc Huế  (PVA 003)"/>
    <s v="Kg"/>
    <n v="147"/>
    <n v="147"/>
    <d v="1899-12-31T00:00:00"/>
    <n v="44727"/>
    <s v="Cannot be used up for production before expiry date"/>
    <n v="4631851.665"/>
    <x v="0"/>
    <n v="147"/>
    <n v="4631851.665"/>
    <x v="0"/>
    <x v="0"/>
  </r>
  <r>
    <x v="1"/>
    <x v="3"/>
    <n v="44664"/>
    <x v="8"/>
    <x v="1"/>
    <x v="22"/>
    <x v="1"/>
    <x v="224"/>
    <s v="Hạt nêm nấm hương Organic (Knorr)(6.46 kg)  (PVA 001)"/>
    <s v="Kg"/>
    <n v="36"/>
    <n v="36"/>
    <d v="1899-12-31T00:00:00"/>
    <n v="44821"/>
    <s v="Cannot be used up for production before expiry date"/>
    <n v="1486650.04156276"/>
    <x v="2"/>
    <n v="0"/>
    <n v="0"/>
    <x v="0"/>
    <x v="0"/>
  </r>
  <r>
    <x v="1"/>
    <x v="3"/>
    <n v="44669"/>
    <x v="5"/>
    <x v="0"/>
    <x v="35"/>
    <x v="2"/>
    <x v="225"/>
    <s v="Chả lụa quết Cầu Tre - Chả bì ớt xiêm xanh 200gr"/>
    <s v="EA"/>
    <n v="3"/>
    <n v="0.60000000000000009"/>
    <d v="1899-12-30T04:48:00"/>
    <n v="44682"/>
    <s v="Small quantity, cannot sell B2C and nearly expired"/>
    <n v="61119.899999999994"/>
    <x v="0"/>
    <n v="0"/>
    <n v="0"/>
    <x v="0"/>
    <x v="0"/>
  </r>
  <r>
    <x v="1"/>
    <x v="3"/>
    <n v="44669"/>
    <x v="5"/>
    <x v="0"/>
    <x v="35"/>
    <x v="2"/>
    <x v="9"/>
    <s v="Chả Lụa Quết Thượng Hạng 500g (mát)"/>
    <s v="EA"/>
    <n v="718"/>
    <n v="359"/>
    <d v="1899-12-30T12:00:00"/>
    <n v="44705"/>
    <s v="Missing order of BHX"/>
    <n v="30337059.085714284"/>
    <x v="1"/>
    <n v="0"/>
    <n v="0"/>
    <x v="0"/>
    <x v="0"/>
  </r>
  <r>
    <x v="1"/>
    <x v="3"/>
    <n v="44669"/>
    <x v="5"/>
    <x v="0"/>
    <x v="35"/>
    <x v="2"/>
    <x v="181"/>
    <s v="Chả lụa quết Cầu Tre - Chả bì 500gr"/>
    <s v="EA"/>
    <n v="58"/>
    <n v="29"/>
    <d v="1899-12-30T12:00:00"/>
    <n v="44688"/>
    <s v="Small quantity, cannot sell B2C and nearly expired"/>
    <n v="2146000"/>
    <x v="1"/>
    <n v="0"/>
    <n v="0"/>
    <x v="0"/>
    <x v="0"/>
  </r>
  <r>
    <x v="1"/>
    <x v="3"/>
    <n v="44669"/>
    <x v="5"/>
    <x v="0"/>
    <x v="35"/>
    <x v="2"/>
    <x v="225"/>
    <s v="Chả lụa quết Cầu Tre - Chả bì ớt xiêm xanh 200gr"/>
    <s v="EA"/>
    <n v="23"/>
    <n v="4.6000000000000005"/>
    <d v="1899-12-30T04:48:00"/>
    <n v="44688"/>
    <s v="Small quantity, cannot sell B2C and nearly expired"/>
    <n v="261585.9"/>
    <x v="1"/>
    <n v="0"/>
    <n v="0"/>
    <x v="0"/>
    <x v="0"/>
  </r>
  <r>
    <x v="1"/>
    <x v="3"/>
    <n v="44669"/>
    <x v="5"/>
    <x v="0"/>
    <x v="35"/>
    <x v="2"/>
    <x v="183"/>
    <s v="Chả lụa quết Cầu Tre - Chả bì ớt xiêm xanh 500gr"/>
    <s v="EA"/>
    <n v="69"/>
    <n v="34.5"/>
    <d v="1899-12-30T12:00:00"/>
    <n v="44688"/>
    <s v="Small quantity, cannot sell B2C and nearly expired"/>
    <n v="2484000"/>
    <x v="1"/>
    <n v="0"/>
    <n v="0"/>
    <x v="0"/>
    <x v="0"/>
  </r>
  <r>
    <x v="1"/>
    <x v="3"/>
    <n v="44669"/>
    <x v="5"/>
    <x v="0"/>
    <x v="35"/>
    <x v="2"/>
    <x v="77"/>
    <s v="Xúc xích heo vị Mexico hiệu REAL 200g"/>
    <s v="EA"/>
    <n v="16"/>
    <n v="3.2"/>
    <d v="1899-12-30T04:48:00"/>
    <n v="44696"/>
    <s v="Small quantity, cannot sell B2C and nearly expired"/>
    <n v="230451"/>
    <x v="0"/>
    <n v="0"/>
    <n v="0"/>
    <x v="0"/>
    <x v="0"/>
  </r>
  <r>
    <x v="1"/>
    <x v="3"/>
    <n v="44669"/>
    <x v="5"/>
    <x v="0"/>
    <x v="35"/>
    <x v="2"/>
    <x v="183"/>
    <s v="Chả lụa quết Cầu Tre - Chả bì ớt xiêm xanh 500gr"/>
    <s v="EA"/>
    <n v="25"/>
    <n v="12.5"/>
    <d v="1899-12-30T12:00:00"/>
    <n v="44690"/>
    <s v="Small quantity, cannot sell B2C and nearly expired"/>
    <n v="900000"/>
    <x v="0"/>
    <n v="0"/>
    <n v="0"/>
    <x v="0"/>
    <x v="0"/>
  </r>
  <r>
    <x v="1"/>
    <x v="3"/>
    <n v="44669"/>
    <x v="5"/>
    <x v="0"/>
    <x v="35"/>
    <x v="2"/>
    <x v="181"/>
    <s v="Chả lụa quết Cầu Tre - Chả bì 500gr"/>
    <s v="EA"/>
    <n v="61"/>
    <n v="30.5"/>
    <d v="1899-12-30T12:00:00"/>
    <n v="44691"/>
    <s v="Small quantity, cannot sell B2C and nearly expired"/>
    <n v="2257000"/>
    <x v="1"/>
    <n v="0"/>
    <n v="0"/>
    <x v="0"/>
    <x v="0"/>
  </r>
  <r>
    <x v="1"/>
    <x v="3"/>
    <n v="44669"/>
    <x v="5"/>
    <x v="0"/>
    <x v="35"/>
    <x v="2"/>
    <x v="33"/>
    <s v="Chả lụa quết nhất phẩm – 200G"/>
    <s v="EA"/>
    <n v="2055"/>
    <n v="411"/>
    <d v="1899-12-30T04:48:00"/>
    <n v="44702"/>
    <s v="MTO Order (Customer: BHX) but they stop order"/>
    <n v="22406261.928571429"/>
    <x v="1"/>
    <n v="0"/>
    <n v="0"/>
    <x v="0"/>
    <x v="0"/>
  </r>
  <r>
    <x v="1"/>
    <x v="4"/>
    <n v="44684"/>
    <x v="0"/>
    <x v="0"/>
    <x v="35"/>
    <x v="2"/>
    <x v="226"/>
    <s v="Chả Giò Rế CTE Thịt Gói 300g"/>
    <s v="EA"/>
    <n v="1"/>
    <n v="0.3"/>
    <d v="1899-12-30T07:12:00"/>
    <n v="44695"/>
    <s v="Small quantity, cannot sell B2C and nearly expired"/>
    <n v="13700.061760840999"/>
    <x v="1"/>
    <n v="0"/>
    <n v="0"/>
    <x v="0"/>
    <x v="0"/>
  </r>
  <r>
    <x v="1"/>
    <x v="4"/>
    <n v="44684"/>
    <x v="0"/>
    <x v="0"/>
    <x v="35"/>
    <x v="2"/>
    <x v="4"/>
    <s v="Há Cảo CTE Chay - Gói 500g"/>
    <s v="EA"/>
    <n v="1"/>
    <n v="0.5"/>
    <d v="1899-12-30T12:00:00"/>
    <n v="44699"/>
    <s v="Small quantity, cannot sell B2C and nearly expired"/>
    <n v="22003"/>
    <x v="1"/>
    <n v="0"/>
    <n v="0"/>
    <x v="0"/>
    <x v="0"/>
  </r>
  <r>
    <x v="1"/>
    <x v="4"/>
    <n v="44684"/>
    <x v="2"/>
    <x v="0"/>
    <x v="35"/>
    <x v="2"/>
    <x v="7"/>
    <s v="Nước Uống Collagen Innerb Glowshort ((50ML*6EA)*10ea/CT)"/>
    <s v="EA"/>
    <n v="113"/>
    <n v="33.9"/>
    <d v="1899-12-30T07:12:00"/>
    <n v="44704"/>
    <s v="Small quantity, cannot sell B2C and nearly expired"/>
    <n v="5856261.0921999989"/>
    <x v="1"/>
    <n v="0"/>
    <n v="0"/>
    <x v="0"/>
    <x v="0"/>
  </r>
  <r>
    <x v="1"/>
    <x v="4"/>
    <n v="44684"/>
    <x v="0"/>
    <x v="0"/>
    <x v="35"/>
    <x v="2"/>
    <x v="227"/>
    <s v="Chả Giò Rice CTE Đặc Biệt - Hải Sản Gói 500g"/>
    <s v="EA"/>
    <n v="4"/>
    <n v="2"/>
    <d v="1899-12-30T12:00:00"/>
    <n v="44714"/>
    <s v="Small quantity, cannot sell B2C and nearly expired"/>
    <n v="111878.22222222222"/>
    <x v="1"/>
    <n v="0"/>
    <n v="0"/>
    <x v="0"/>
    <x v="0"/>
  </r>
  <r>
    <x v="1"/>
    <x v="4"/>
    <n v="44684"/>
    <x v="0"/>
    <x v="0"/>
    <x v="35"/>
    <x v="2"/>
    <x v="220"/>
    <s v="BIBIGO Hoành thánh Mini  370G"/>
    <s v="EA"/>
    <n v="192"/>
    <n v="71.039999999999992"/>
    <d v="1899-12-30T08:52:48"/>
    <n v="44708"/>
    <s v="Missing data to be able to clear via Sales on time, now become low date, cannot sell B2C and nearly expired"/>
    <n v="6192384"/>
    <x v="1"/>
    <n v="0"/>
    <n v="0"/>
    <x v="0"/>
    <x v="0"/>
  </r>
  <r>
    <x v="1"/>
    <x v="4"/>
    <n v="44684"/>
    <x v="0"/>
    <x v="0"/>
    <x v="35"/>
    <x v="2"/>
    <x v="220"/>
    <s v="BIBIGO Hoành thánh Mini  370G"/>
    <s v="EA"/>
    <n v="176"/>
    <n v="65.12"/>
    <d v="1899-12-30T08:52:48"/>
    <n v="44717"/>
    <s v="Missing data to be able to clear via Sales on time, now become low date, cannot sell B2C and nearly expired"/>
    <n v="5676352"/>
    <x v="1"/>
    <n v="0"/>
    <n v="0"/>
    <x v="0"/>
    <x v="0"/>
  </r>
  <r>
    <x v="1"/>
    <x v="4"/>
    <n v="44684"/>
    <x v="0"/>
    <x v="0"/>
    <x v="35"/>
    <x v="2"/>
    <x v="228"/>
    <s v="Chả Giò Pastry Cầu Tre Tôm Thịt Gói 400g"/>
    <s v="EA"/>
    <n v="2"/>
    <n v="0.8"/>
    <d v="1899-12-30T09:36:00"/>
    <n v="44735"/>
    <s v="Small quantity, cannot sell B2C and nearly expired"/>
    <n v="45582.6"/>
    <x v="1"/>
    <n v="0"/>
    <n v="0"/>
    <x v="0"/>
    <x v="0"/>
  </r>
  <r>
    <x v="1"/>
    <x v="4"/>
    <n v="44684"/>
    <x v="0"/>
    <x v="0"/>
    <x v="35"/>
    <x v="2"/>
    <x v="105"/>
    <s v="BIBIGO Bánh xếp mỏng 455G*2"/>
    <s v="EA"/>
    <n v="32"/>
    <n v="29.12"/>
    <d v="1899-12-30T21:50:24"/>
    <n v="44723"/>
    <s v="Small quantity, cannot sell B2C and nearly expired"/>
    <n v="2006208"/>
    <x v="1"/>
    <n v="0"/>
    <n v="0"/>
    <x v="0"/>
    <x v="0"/>
  </r>
  <r>
    <x v="1"/>
    <x v="4"/>
    <n v="44684"/>
    <x v="4"/>
    <x v="0"/>
    <x v="35"/>
    <x v="2"/>
    <x v="229"/>
    <s v="Tương ớt Taeyangcho (original) 500G (hộp)"/>
    <s v="EA"/>
    <n v="82"/>
    <n v="41"/>
    <d v="1899-12-30T12:00:00"/>
    <n v="44772"/>
    <s v="Small quantity, cannot sell B2C and nearly expired"/>
    <n v="1580106.4545454544"/>
    <x v="1"/>
    <n v="0"/>
    <n v="0"/>
    <x v="0"/>
    <x v="0"/>
  </r>
  <r>
    <x v="1"/>
    <x v="4"/>
    <n v="44684"/>
    <x v="0"/>
    <x v="0"/>
    <x v="35"/>
    <x v="2"/>
    <x v="230"/>
    <s v="Há Cảo thượng hạng CAUTRE- Gói 300G"/>
    <s v="EA"/>
    <n v="1"/>
    <n v="0.3"/>
    <d v="1899-12-30T07:12:00"/>
    <n v="44744"/>
    <s v="Small quantity, cannot sell B2C and nearly expired"/>
    <n v="30910.571428571428"/>
    <x v="1"/>
    <n v="0"/>
    <n v="0"/>
    <x v="0"/>
    <x v="0"/>
  </r>
  <r>
    <x v="1"/>
    <x v="4"/>
    <n v="44684"/>
    <x v="7"/>
    <x v="0"/>
    <x v="35"/>
    <x v="2"/>
    <x v="132"/>
    <s v="Canh Hàn Quốc – Canh tương đậu hũ 4,3 g x 10 gói"/>
    <s v="EA"/>
    <n v="7"/>
    <n v="0.30099999999999999"/>
    <d v="1899-12-30T01:01:55"/>
    <n v="44748"/>
    <s v="Small quantity, cannot sell B2C and nearly expired"/>
    <n v="188762"/>
    <x v="1"/>
    <n v="0"/>
    <n v="0"/>
    <x v="0"/>
    <x v="0"/>
  </r>
  <r>
    <x v="1"/>
    <x v="4"/>
    <n v="44684"/>
    <x v="5"/>
    <x v="0"/>
    <x v="35"/>
    <x v="2"/>
    <x v="231"/>
    <s v="Cá Viên CAUTRE Gói 250g"/>
    <s v="EA"/>
    <n v="45"/>
    <n v="11.25"/>
    <d v="1899-12-30T06:00:00"/>
    <n v="44758"/>
    <s v="Small quantity, cannot sell B2C and nearly expired"/>
    <n v="625500"/>
    <x v="1"/>
    <n v="0"/>
    <n v="0"/>
    <x v="0"/>
    <x v="0"/>
  </r>
  <r>
    <x v="1"/>
    <x v="4"/>
    <n v="44684"/>
    <x v="3"/>
    <x v="0"/>
    <x v="35"/>
    <x v="2"/>
    <x v="85"/>
    <s v="Kim Chi BIBIGO Cải Thảo Cắt Lát Túi 100g"/>
    <s v="EA"/>
    <n v="27"/>
    <n v="2.7"/>
    <d v="1899-12-30T02:24:00"/>
    <n v="44695"/>
    <s v="Small quantity, cannot sell B2C and nearly expired"/>
    <n v="159299.9676"/>
    <x v="1"/>
    <n v="0"/>
    <n v="0"/>
    <x v="0"/>
    <x v="0"/>
  </r>
  <r>
    <x v="1"/>
    <x v="4"/>
    <n v="44684"/>
    <x v="5"/>
    <x v="0"/>
    <x v="35"/>
    <x v="2"/>
    <x v="33"/>
    <s v="Chả lụa quết nhất phẩm – 200G"/>
    <s v="EA"/>
    <n v="2143"/>
    <n v="411"/>
    <d v="1899-12-30T04:48:00"/>
    <n v="44702"/>
    <s v="Raised internal sales (18Apr) under SLOB price 70% discount, but cannot clear stock before expiry date"/>
    <n v="40509751.490476191"/>
    <x v="1"/>
    <n v="0"/>
    <n v="0"/>
    <x v="0"/>
    <x v="0"/>
  </r>
  <r>
    <x v="1"/>
    <x v="4"/>
    <n v="44684"/>
    <x v="5"/>
    <x v="0"/>
    <x v="35"/>
    <x v="2"/>
    <x v="9"/>
    <s v="Chả Lụa Quết Thượng Hạng 500g (mát)"/>
    <s v="Gói"/>
    <n v="204"/>
    <n v="102"/>
    <d v="1899-12-30T12:00:00"/>
    <n v="44703"/>
    <s v="Missing order of BHX (same shipment in e-approval raised on 18Apr)"/>
    <n v="11077177.333333334"/>
    <x v="1"/>
    <n v="0"/>
    <n v="0"/>
    <x v="0"/>
    <x v="0"/>
  </r>
  <r>
    <x v="1"/>
    <x v="4"/>
    <n v="44684"/>
    <x v="5"/>
    <x v="0"/>
    <x v="35"/>
    <x v="2"/>
    <x v="84"/>
    <s v="Xúc Xích REAL Vị Heo Mexico Mini Gói 200g"/>
    <s v="EA"/>
    <n v="16"/>
    <n v="3.2"/>
    <d v="1899-12-30T04:48:00"/>
    <n v="44696"/>
    <s v="Small quantity, cannot sell B2C and nearly expired"/>
    <n v="361026.11680000002"/>
    <x v="1"/>
    <n v="0"/>
    <n v="0"/>
    <x v="0"/>
    <x v="0"/>
  </r>
  <r>
    <x v="1"/>
    <x v="4"/>
    <n v="44684"/>
    <x v="4"/>
    <x v="0"/>
    <x v="35"/>
    <x v="2"/>
    <x v="232"/>
    <s v="Tương ớt Taeyangcho (original) 1KG"/>
    <s v="EA"/>
    <n v="4"/>
    <n v="4"/>
    <d v="1899-12-31T00:00:00"/>
    <n v="44821"/>
    <s v="Small quantity, cannot sell B2C and nearly expired"/>
    <n v="159353"/>
    <x v="1"/>
    <n v="0"/>
    <n v="0"/>
    <x v="0"/>
    <x v="0"/>
  </r>
  <r>
    <x v="1"/>
    <x v="4"/>
    <n v="44684"/>
    <x v="4"/>
    <x v="0"/>
    <x v="35"/>
    <x v="2"/>
    <x v="229"/>
    <s v="Tương ớt Taeyangcho (original) 500G (hộp)"/>
    <s v="EA"/>
    <n v="7"/>
    <n v="3.5"/>
    <d v="1899-12-30T12:00:00"/>
    <n v="44828"/>
    <s v="Small quantity, cannot sell B2C and nearly expired"/>
    <n v="141367.60256410256"/>
    <x v="1"/>
    <n v="0"/>
    <n v="0"/>
    <x v="0"/>
    <x v="0"/>
  </r>
  <r>
    <x v="1"/>
    <x v="4"/>
    <n v="44684"/>
    <x v="5"/>
    <x v="0"/>
    <x v="35"/>
    <x v="2"/>
    <x v="46"/>
    <s v="Cá Viên Ngon CAUTRE Gói 500g"/>
    <s v="EA"/>
    <n v="138"/>
    <n v="69"/>
    <d v="1899-12-30T12:00:00"/>
    <n v="44783"/>
    <s v="Small quantity, cannot sell B2C and nearly expired"/>
    <n v="1324845.1636363638"/>
    <x v="1"/>
    <n v="0"/>
    <n v="0"/>
    <x v="0"/>
    <x v="0"/>
  </r>
  <r>
    <x v="1"/>
    <x v="4"/>
    <n v="44684"/>
    <x v="4"/>
    <x v="0"/>
    <x v="35"/>
    <x v="2"/>
    <x v="189"/>
    <s v="(HAECHANDLE) Tương ớt (P) 500G"/>
    <s v="EA"/>
    <n v="2"/>
    <n v="1"/>
    <d v="1899-12-30T12:00:00"/>
    <n v="44833"/>
    <s v="Small quantity, cannot sell B2C and nearly expired"/>
    <n v="46965.425600000002"/>
    <x v="1"/>
    <n v="0"/>
    <n v="0"/>
    <x v="0"/>
    <x v="0"/>
  </r>
  <r>
    <x v="1"/>
    <x v="4"/>
    <n v="44684"/>
    <x v="0"/>
    <x v="0"/>
    <x v="35"/>
    <x v="0"/>
    <x v="83"/>
    <s v="E)비비고 찐만두 168gBIBIGO Há cảo hấp"/>
    <s v="EA"/>
    <n v="48"/>
    <n v="8.0640000000000001"/>
    <d v="1899-12-30T04:01:55"/>
    <n v="44759"/>
    <s v="Small quantity, cannot sell B2C and nearly expired"/>
    <n v="465216"/>
    <x v="1"/>
    <n v="0"/>
    <n v="0"/>
    <x v="0"/>
    <x v="0"/>
  </r>
  <r>
    <x v="1"/>
    <x v="4"/>
    <n v="44684"/>
    <x v="5"/>
    <x v="0"/>
    <x v="35"/>
    <x v="2"/>
    <x v="43"/>
    <s v="Chả Cá Quết CAUTRE Nha Trang Gói 280g"/>
    <s v="EA"/>
    <n v="38"/>
    <n v="10.64"/>
    <d v="1899-12-30T06:43:12"/>
    <n v="44703"/>
    <s v="Small quantity, cannot sell B2C and nearly expired"/>
    <n v="554927.28099999996"/>
    <x v="1"/>
    <n v="0"/>
    <n v="0"/>
    <x v="0"/>
    <x v="0"/>
  </r>
  <r>
    <x v="1"/>
    <x v="4"/>
    <n v="44684"/>
    <x v="0"/>
    <x v="0"/>
    <x v="35"/>
    <x v="2"/>
    <x v="58"/>
    <s v="BIBIGO bánh xếp vị Kimchi 420G"/>
    <s v="EA"/>
    <n v="14"/>
    <n v="5.88"/>
    <d v="1899-12-30T10:04:48"/>
    <n v="44782"/>
    <s v="Small quantity, cannot sell B2C"/>
    <n v="273350"/>
    <x v="1"/>
    <n v="0"/>
    <n v="0"/>
    <x v="0"/>
    <x v="0"/>
  </r>
  <r>
    <x v="1"/>
    <x v="4"/>
    <n v="44684"/>
    <x v="7"/>
    <x v="0"/>
    <x v="35"/>
    <x v="0"/>
    <x v="216"/>
    <s v="부침가루 1KGBột chiên bánh xèo"/>
    <s v="EA"/>
    <n v="4"/>
    <n v="4"/>
    <d v="1899-12-31T00:00:00"/>
    <n v="44833"/>
    <s v="Small quantity, cannot sell B2C"/>
    <n v="32524.17333333334"/>
    <x v="1"/>
    <n v="0"/>
    <n v="0"/>
    <x v="0"/>
    <x v="0"/>
  </r>
  <r>
    <x v="1"/>
    <x v="4"/>
    <n v="44684"/>
    <x v="1"/>
    <x v="0"/>
    <x v="35"/>
    <x v="2"/>
    <x v="233"/>
    <s v="Miến Hàn Quốc 1KG"/>
    <s v="EA"/>
    <n v="1"/>
    <n v="1"/>
    <d v="1899-12-31T00:00:00"/>
    <n v="44994"/>
    <s v="Small quantity, cannot sell B2C"/>
    <n v="22231"/>
    <x v="1"/>
    <n v="0"/>
    <n v="0"/>
    <x v="0"/>
    <x v="0"/>
  </r>
  <r>
    <x v="1"/>
    <x v="4"/>
    <n v="44684"/>
    <x v="0"/>
    <x v="0"/>
    <x v="35"/>
    <x v="2"/>
    <x v="146"/>
    <s v="Mandu BIBIGO Hải Sản Gói 350g"/>
    <s v="EA"/>
    <n v="3"/>
    <n v="1.0499999999999998"/>
    <d v="1899-12-30T08:24:00"/>
    <n v="44846"/>
    <s v="Small quantity, cannot sell B2C"/>
    <n v="38100"/>
    <x v="1"/>
    <n v="0"/>
    <n v="0"/>
    <x v="0"/>
    <x v="0"/>
  </r>
  <r>
    <x v="1"/>
    <x v="4"/>
    <n v="44684"/>
    <x v="6"/>
    <x v="0"/>
    <x v="35"/>
    <x v="2"/>
    <x v="28"/>
    <s v="Snack Rong Biển BIBIGO Chiên - Vị Bắp Mật Ong Gói 25g"/>
    <s v="EA"/>
    <n v="20"/>
    <n v="0.5"/>
    <d v="1899-12-30T00:36:00"/>
    <n v="44780"/>
    <s v="Small quantity, cannot sell B2C"/>
    <n v="128138.2626262626"/>
    <x v="1"/>
    <n v="0"/>
    <n v="0"/>
    <x v="0"/>
    <x v="0"/>
  </r>
  <r>
    <x v="1"/>
    <x v="4"/>
    <n v="44684"/>
    <x v="0"/>
    <x v="0"/>
    <x v="35"/>
    <x v="0"/>
    <x v="129"/>
    <s v="Bánh Mandu Hải sản CJ Bibigo - Gói 175g"/>
    <s v="Gói"/>
    <n v="33"/>
    <n v="5.7749999999999995"/>
    <d v="1899-12-30T04:12:00"/>
    <n v="44883"/>
    <s v="Small quantity, cannot sell B2C"/>
    <n v="237600.35310000004"/>
    <x v="1"/>
    <n v="0"/>
    <n v="0"/>
    <x v="0"/>
    <x v="0"/>
  </r>
  <r>
    <x v="1"/>
    <x v="4"/>
    <n v="44684"/>
    <x v="0"/>
    <x v="0"/>
    <x v="35"/>
    <x v="2"/>
    <x v="129"/>
    <s v="Bánh Mandu Hải Sản CJ Bibigo – Gói 175g"/>
    <s v="Gói"/>
    <n v="16"/>
    <n v="2.8"/>
    <d v="1899-12-30T04:12:00"/>
    <n v="44883"/>
    <s v="Small quantity, cannot sell B2C"/>
    <n v="115200.1712"/>
    <x v="1"/>
    <n v="0"/>
    <n v="0"/>
    <x v="0"/>
    <x v="0"/>
  </r>
  <r>
    <x v="1"/>
    <x v="4"/>
    <n v="44684"/>
    <x v="0"/>
    <x v="0"/>
    <x v="35"/>
    <x v="2"/>
    <x v="234"/>
    <s v="Bánh Mandu Thịt và Bắp CJ Bibigo - Gói 1.505Kg - Thùng 9,03Kg"/>
    <s v="EA"/>
    <n v="1"/>
    <n v="1.5049999999999999"/>
    <d v="1899-12-31T12:07:12"/>
    <n v="44887"/>
    <s v="Small quantity, cannot sell B2C"/>
    <n v="53951.208333333328"/>
    <x v="1"/>
    <n v="0"/>
    <n v="0"/>
    <x v="0"/>
    <x v="0"/>
  </r>
  <r>
    <x v="1"/>
    <x v="4"/>
    <n v="44684"/>
    <x v="3"/>
    <x v="0"/>
    <x v="35"/>
    <x v="2"/>
    <x v="85"/>
    <s v="Kim Chi BIBIGO Cải Thảo Cắt Lát Túi 100g"/>
    <s v="EA"/>
    <n v="2"/>
    <n v="0.2"/>
    <d v="1899-12-30T02:24:00"/>
    <n v="44717"/>
    <s v="Small quantity, cannot sell B2C"/>
    <n v="7799.9975999999997"/>
    <x v="1"/>
    <n v="0"/>
    <n v="0"/>
    <x v="0"/>
    <x v="0"/>
  </r>
  <r>
    <x v="1"/>
    <x v="4"/>
    <n v="44684"/>
    <x v="0"/>
    <x v="0"/>
    <x v="35"/>
    <x v="2"/>
    <x v="62"/>
    <s v="Bánh Mandu Thịt CJ Bibigo - gói 1.505kg- Thùng 9,03 kg"/>
    <s v="EA"/>
    <n v="2"/>
    <n v="3.01"/>
    <d v="1899-12-31T12:07:12"/>
    <n v="44901"/>
    <s v="Small quantity, cannot sell B2C"/>
    <n v="111312.5076"/>
    <x v="1"/>
    <n v="0"/>
    <n v="0"/>
    <x v="0"/>
    <x v="0"/>
  </r>
  <r>
    <x v="1"/>
    <x v="4"/>
    <n v="44684"/>
    <x v="5"/>
    <x v="0"/>
    <x v="35"/>
    <x v="2"/>
    <x v="77"/>
    <s v="Xúc Xích REAL Vị Heo Mexico Gói 200g"/>
    <s v="EA"/>
    <n v="1"/>
    <n v="0.2"/>
    <d v="1899-12-30T04:48:00"/>
    <n v="44718"/>
    <s v="Small quantity, cannot sell B2C"/>
    <n v="15564.132299999999"/>
    <x v="1"/>
    <n v="0"/>
    <n v="0"/>
    <x v="0"/>
    <x v="0"/>
  </r>
  <r>
    <x v="1"/>
    <x v="4"/>
    <n v="44684"/>
    <x v="3"/>
    <x v="0"/>
    <x v="35"/>
    <x v="2"/>
    <x v="85"/>
    <s v="Kim Chi BIBIGO Cải Thảo Cắt Lát Túi 100g"/>
    <s v="EA"/>
    <n v="1"/>
    <n v="0.1"/>
    <d v="1899-12-30T02:24:00"/>
    <n v="44720"/>
    <s v="Small quantity, cannot sell B2C"/>
    <n v="3899.9987999999998"/>
    <x v="1"/>
    <n v="0"/>
    <n v="0"/>
    <x v="0"/>
    <x v="0"/>
  </r>
  <r>
    <x v="1"/>
    <x v="4"/>
    <n v="44684"/>
    <x v="3"/>
    <x v="0"/>
    <x v="35"/>
    <x v="0"/>
    <x v="68"/>
    <s v="Kimchi cải thảo-ngò Bibigo Ông Kim's 500gr"/>
    <s v="Hộp"/>
    <n v="2"/>
    <n v="1"/>
    <d v="1899-12-30T12:00:00"/>
    <n v="44692"/>
    <s v="Hàng thu hồi thanh lý hợp đồng"/>
    <n v="42000.180800000002"/>
    <x v="1"/>
    <n v="0"/>
    <n v="0"/>
    <x v="0"/>
    <x v="0"/>
  </r>
  <r>
    <x v="1"/>
    <x v="4"/>
    <n v="44684"/>
    <x v="0"/>
    <x v="0"/>
    <x v="35"/>
    <x v="0"/>
    <x v="235"/>
    <s v="Chả Giò Da Xốp Cầu Tre - Nhân Thịt - Gói 500G"/>
    <s v="Gói"/>
    <n v="3"/>
    <n v="1.5"/>
    <d v="1899-12-30T12:00:00"/>
    <n v="44814"/>
    <s v="Hàng thu hồi thanh lý hợp đồng"/>
    <n v="38566"/>
    <x v="1"/>
    <n v="0"/>
    <n v="0"/>
    <x v="0"/>
    <x v="0"/>
  </r>
  <r>
    <x v="1"/>
    <x v="4"/>
    <n v="44684"/>
    <x v="6"/>
    <x v="0"/>
    <x v="35"/>
    <x v="0"/>
    <x v="236"/>
    <s v="Rong biển ăn liền Bibigo vị truyền thống 4gr * 3"/>
    <s v="Lốc"/>
    <n v="11"/>
    <n v="0.13200000000000001"/>
    <d v="1899-12-30T00:17:17"/>
    <n v="44826"/>
    <s v="Hàng thu hồi thanh lý hợp đồng"/>
    <n v="46797.52"/>
    <x v="1"/>
    <n v="0"/>
    <n v="0"/>
    <x v="0"/>
    <x v="0"/>
  </r>
  <r>
    <x v="1"/>
    <x v="4"/>
    <n v="44684"/>
    <x v="0"/>
    <x v="0"/>
    <x v="35"/>
    <x v="0"/>
    <x v="129"/>
    <s v="Bánh Mandu Hải sản CJ Bibigo - Gói 175g"/>
    <s v="Gói"/>
    <n v="14"/>
    <n v="2.4499999999999997"/>
    <d v="1899-12-30T04:12:00"/>
    <n v="44846"/>
    <s v="Hàng thu hồi thanh lý hợp đồng"/>
    <n v="100800.1498"/>
    <x v="1"/>
    <n v="0"/>
    <n v="0"/>
    <x v="0"/>
    <x v="0"/>
  </r>
  <r>
    <x v="1"/>
    <x v="4"/>
    <n v="44684"/>
    <x v="0"/>
    <x v="0"/>
    <x v="35"/>
    <x v="0"/>
    <x v="129"/>
    <s v="Bánh Mandu Hải sản CJ Bibigo - Gói 175g"/>
    <s v="Gói"/>
    <n v="12"/>
    <n v="2.0999999999999996"/>
    <d v="1899-12-30T04:12:00"/>
    <n v="44882"/>
    <s v="Hàng thu hồi thanh lý hợp đồng"/>
    <n v="86400.128400000016"/>
    <x v="1"/>
    <n v="0"/>
    <n v="0"/>
    <x v="0"/>
    <x v="0"/>
  </r>
  <r>
    <x v="1"/>
    <x v="4"/>
    <n v="44684"/>
    <x v="0"/>
    <x v="0"/>
    <x v="35"/>
    <x v="0"/>
    <x v="114"/>
    <s v="Bánh Mandu Hải Sản CJ Bibigo - Gói 350G"/>
    <s v="Gói"/>
    <n v="1"/>
    <n v="0.35"/>
    <d v="1899-12-30T08:24:00"/>
    <n v="44902"/>
    <s v="Hàng thu hồi thanh lý hợp đồng"/>
    <n v="13798.5"/>
    <x v="1"/>
    <n v="0"/>
    <n v="0"/>
    <x v="0"/>
    <x v="0"/>
  </r>
  <r>
    <x v="1"/>
    <x v="4"/>
    <n v="44684"/>
    <x v="0"/>
    <x v="0"/>
    <x v="35"/>
    <x v="0"/>
    <x v="237"/>
    <s v="Bánh Mandu Thịt CJ Bibigo - gói 1.505kg- Thùng 9,03 kg"/>
    <s v="Gói"/>
    <n v="1"/>
    <n v="1.5049999999999999"/>
    <d v="1899-12-31T12:07:12"/>
    <n v="44932"/>
    <s v="Quality - Lỗi rách trong thùng nguyên- Lỗi phát hiện trong kho"/>
    <n v="84601.279386712093"/>
    <x v="1"/>
    <n v="0"/>
    <n v="0"/>
    <x v="0"/>
    <x v="0"/>
  </r>
  <r>
    <x v="1"/>
    <x v="4"/>
    <n v="44684"/>
    <x v="5"/>
    <x v="0"/>
    <x v="35"/>
    <x v="0"/>
    <x v="46"/>
    <s v="Cá viên ngon Cầu Tre 500gr"/>
    <s v="Gói"/>
    <n v="2"/>
    <n v="1"/>
    <d v="1899-12-30T12:00:00"/>
    <n v="44953"/>
    <s v="Quality - Lỗi LCK- Lỗi phát hiện trong kho"/>
    <n v="33200.654545454548"/>
    <x v="1"/>
    <n v="0"/>
    <n v="0"/>
    <x v="0"/>
    <x v="0"/>
  </r>
  <r>
    <x v="1"/>
    <x v="4"/>
    <n v="44684"/>
    <x v="5"/>
    <x v="0"/>
    <x v="35"/>
    <x v="0"/>
    <x v="46"/>
    <s v="Cá viên ngon Cầu Tre 500gr"/>
    <s v="Gói"/>
    <n v="1"/>
    <n v="0.5"/>
    <d v="1899-12-30T12:00:00"/>
    <n v="44939"/>
    <s v="Quality - Lỗi LCK- Lỗi phát hiện trong kho"/>
    <n v="16600.327272727274"/>
    <x v="1"/>
    <n v="0"/>
    <n v="0"/>
    <x v="0"/>
    <x v="0"/>
  </r>
  <r>
    <x v="0"/>
    <x v="4"/>
    <n v="44321"/>
    <x v="6"/>
    <x v="0"/>
    <x v="1"/>
    <x v="0"/>
    <x v="14"/>
    <s v="OHYA Tokboki chả cá- Xốt Tok Tok Sa Tế Tôm 180g"/>
    <s v="Khay"/>
    <n v="44"/>
    <n v="7.92"/>
    <d v="1899-12-30T04:19:12"/>
    <n v="44350"/>
    <s v="Approved for Internal Sales since March 2021 and Canteen has no need to use. It can not be solved all and is nearly out of date."/>
    <n v="636206.02320000005"/>
    <x v="0"/>
    <n v="44"/>
    <n v="636206.02320000005"/>
    <x v="1"/>
    <x v="0"/>
  </r>
  <r>
    <x v="0"/>
    <x v="4"/>
    <n v="44321"/>
    <x v="3"/>
    <x v="0"/>
    <x v="21"/>
    <x v="2"/>
    <x v="87"/>
    <s v="Đậu hũ non Bibigo Ông Kim's 220gr"/>
    <s v="Túi"/>
    <n v="11"/>
    <n v="2.42"/>
    <d v="1899-12-30T05:16:48"/>
    <n v="44321"/>
    <s v="Return from distributors"/>
    <n v="47714.333700000003"/>
    <x v="0"/>
    <n v="0"/>
    <n v="0"/>
    <x v="1"/>
    <x v="0"/>
  </r>
  <r>
    <x v="0"/>
    <x v="4"/>
    <n v="44321"/>
    <x v="3"/>
    <x v="0"/>
    <x v="21"/>
    <x v="2"/>
    <x v="107"/>
    <s v="Đậu hũ non Bibigo Ông Kim's 250gr"/>
    <s v="Hộp"/>
    <n v="7"/>
    <n v="1.75"/>
    <d v="1899-12-30T06:00:00"/>
    <n v="44321"/>
    <s v="Return from distributors"/>
    <n v="38736.224099999999"/>
    <x v="0"/>
    <n v="0"/>
    <n v="0"/>
    <x v="1"/>
    <x v="0"/>
  </r>
  <r>
    <x v="0"/>
    <x v="4"/>
    <n v="44321"/>
    <x v="3"/>
    <x v="0"/>
    <x v="21"/>
    <x v="2"/>
    <x v="107"/>
    <s v="Đậu hũ non Bibigo Ông Kim's 250gr"/>
    <s v="Hộp"/>
    <n v="14"/>
    <n v="3.5"/>
    <d v="1899-12-30T06:00:00"/>
    <n v="44325"/>
    <s v="Return from distributors"/>
    <n v="77472.448199999999"/>
    <x v="0"/>
    <n v="0"/>
    <n v="0"/>
    <x v="1"/>
    <x v="0"/>
  </r>
  <r>
    <x v="0"/>
    <x v="4"/>
    <n v="44321"/>
    <x v="3"/>
    <x v="0"/>
    <x v="12"/>
    <x v="2"/>
    <x v="41"/>
    <s v="bibigo Kimchi cải thảo chay 500gr"/>
    <s v="Hộp"/>
    <n v="46"/>
    <n v="23"/>
    <d v="1899-12-30T12:00:00"/>
    <n v="44321"/>
    <s v="Low sale"/>
    <n v="915994.96859999979"/>
    <x v="0"/>
    <n v="0"/>
    <n v="0"/>
    <x v="1"/>
    <x v="0"/>
  </r>
  <r>
    <x v="0"/>
    <x v="4"/>
    <n v="44321"/>
    <x v="7"/>
    <x v="0"/>
    <x v="17"/>
    <x v="1"/>
    <x v="48"/>
    <s v="Sốt Yaki Udon - 900g"/>
    <s v="Gói"/>
    <n v="61"/>
    <n v="54.9"/>
    <d v="1899-12-30T21:36:00"/>
    <n v="44334"/>
    <s v="De-MKT"/>
    <n v="3262655.9999739998"/>
    <x v="0"/>
    <n v="0"/>
    <n v="0"/>
    <x v="1"/>
    <x v="0"/>
  </r>
  <r>
    <x v="0"/>
    <x v="4"/>
    <n v="44321"/>
    <x v="7"/>
    <x v="0"/>
    <x v="17"/>
    <x v="1"/>
    <x v="49"/>
    <s v="Sốt Singapore - 900g"/>
    <s v="Gói"/>
    <n v="80"/>
    <n v="72"/>
    <d v="1899-12-30T21:36:00"/>
    <n v="44334"/>
    <s v="De-MKT"/>
    <n v="3228560.6299200002"/>
    <x v="0"/>
    <n v="0"/>
    <n v="0"/>
    <x v="1"/>
    <x v="0"/>
  </r>
  <r>
    <x v="0"/>
    <x v="9"/>
    <n v="44476"/>
    <x v="8"/>
    <x v="1"/>
    <x v="22"/>
    <x v="1"/>
    <x v="101"/>
    <s v="Nước chấm chả giò (chay) 50gr/gói"/>
    <s v="GOI"/>
    <n v="14590"/>
    <n v="729.5"/>
    <d v="1899-12-30T01:12:00"/>
    <n v="44492"/>
    <s v="No production plan, use for export product in the past, De MKT Shrimp Spring Roll TF"/>
    <n v="32098000"/>
    <x v="0"/>
    <n v="14590"/>
    <n v="32098000"/>
    <x v="1"/>
    <x v="0"/>
  </r>
  <r>
    <x v="0"/>
    <x v="10"/>
    <n v="44526"/>
    <x v="8"/>
    <x v="1"/>
    <x v="22"/>
    <x v="3"/>
    <x v="238"/>
    <s v="Bột gia vị kim chi (kimchi flavor soup powder)"/>
    <s v="Kg"/>
    <n v="120"/>
    <n v="120"/>
    <d v="1899-12-31T00:00:00"/>
    <n v="44573"/>
    <s v="No usage plan"/>
    <n v="23760000"/>
    <x v="0"/>
    <n v="0"/>
    <n v="0"/>
    <x v="1"/>
    <x v="0"/>
  </r>
  <r>
    <x v="0"/>
    <x v="10"/>
    <n v="44518"/>
    <x v="8"/>
    <x v="1"/>
    <x v="22"/>
    <x v="1"/>
    <x v="239"/>
    <s v="Gia vị mật ong và bắp for SNACK SEAWEED 25g"/>
    <s v="Kg"/>
    <n v="100"/>
    <n v="100"/>
    <d v="1899-12-31T00:00:00"/>
    <n v="44574"/>
    <s v="Low usage"/>
    <n v="40694200"/>
    <x v="0"/>
    <n v="75"/>
    <n v="30520650"/>
    <x v="1"/>
    <x v="0"/>
  </r>
  <r>
    <x v="0"/>
    <x v="11"/>
    <n v="44559"/>
    <x v="5"/>
    <x v="0"/>
    <x v="24"/>
    <x v="2"/>
    <x v="33"/>
    <s v="Chả lụa quết nhất phẩm – 200G"/>
    <s v="Gói"/>
    <n v="1830"/>
    <n v="366"/>
    <d v="1899-12-30T04:48:00"/>
    <n v="44566"/>
    <s v="Low sell and Raised internal sale e-approval 30/11/2021 &amp; 15/12/2021"/>
    <n v="41907000"/>
    <x v="0"/>
    <n v="1830"/>
    <n v="41907000"/>
    <x v="1"/>
    <x v="0"/>
  </r>
  <r>
    <x v="1"/>
    <x v="0"/>
    <n v="44585"/>
    <x v="3"/>
    <x v="0"/>
    <x v="12"/>
    <x v="0"/>
    <x v="53"/>
    <s v="Kim chi cải thảo cắt lát Ông Kim's 5Kg-GGG"/>
    <s v="Túi"/>
    <n v="8"/>
    <n v="40"/>
    <d v="1900-01-04T00:00:00"/>
    <n v="44586"/>
    <s v="Low sell, Expire tomorrow and Raised internal sale e-approval 18/01/2022"/>
    <n v="1215065.2963855425"/>
    <x v="0"/>
    <n v="8"/>
    <n v="1215065.2963855425"/>
    <x v="1"/>
    <x v="0"/>
  </r>
  <r>
    <x v="1"/>
    <x v="0"/>
    <n v="44585"/>
    <x v="3"/>
    <x v="0"/>
    <x v="12"/>
    <x v="2"/>
    <x v="65"/>
    <s v="Đậu hũ chiên Ông Kim's 350gr"/>
    <s v="Hộp"/>
    <n v="342"/>
    <n v="119.7"/>
    <d v="1899-12-30T08:24:00"/>
    <n v="44585"/>
    <s v="Low sell, Expire today and Raised internal sale e-approval 18/01/2022"/>
    <n v="4514400"/>
    <x v="0"/>
    <n v="0"/>
    <n v="0"/>
    <x v="1"/>
    <x v="0"/>
  </r>
  <r>
    <x v="1"/>
    <x v="0"/>
    <n v="44585"/>
    <x v="3"/>
    <x v="0"/>
    <x v="21"/>
    <x v="2"/>
    <x v="87"/>
    <s v="Đậu hũ non Bibigo Ông Kim's 220gr"/>
    <s v="Cây"/>
    <n v="148"/>
    <n v="32.56"/>
    <d v="1899-12-30T05:16:48"/>
    <n v="44585"/>
    <s v="Low sell, Expire today and Raised internal sale e-approval 18/01/2022"/>
    <n v="784400"/>
    <x v="0"/>
    <n v="10"/>
    <n v="53000"/>
    <x v="1"/>
    <x v="0"/>
  </r>
  <r>
    <x v="1"/>
    <x v="0"/>
    <n v="44585"/>
    <x v="3"/>
    <x v="0"/>
    <x v="21"/>
    <x v="2"/>
    <x v="66"/>
    <s v="Đậu hũ miếng Bibigo Ông Kim's 250gr"/>
    <s v="Hộp"/>
    <n v="13"/>
    <n v="3.25"/>
    <d v="1899-12-30T06:00:00"/>
    <n v="44585"/>
    <s v="Low sell, Expire today and Raised internal sale e-approval 18/01/2022"/>
    <n v="92300"/>
    <x v="0"/>
    <n v="13"/>
    <n v="92300"/>
    <x v="1"/>
    <x v="0"/>
  </r>
  <r>
    <x v="1"/>
    <x v="0"/>
    <n v="44585"/>
    <x v="3"/>
    <x v="0"/>
    <x v="21"/>
    <x v="2"/>
    <x v="107"/>
    <s v="Đậu hũ non Bibigo Ông Kim's 250gr"/>
    <s v="Hộp"/>
    <n v="144"/>
    <n v="36"/>
    <d v="1899-12-30T06:00:00"/>
    <n v="44585"/>
    <s v="Low sell, Expire today and Raised internal sale e-approval 18/01/2022"/>
    <n v="921600"/>
    <x v="0"/>
    <n v="0"/>
    <n v="0"/>
    <x v="1"/>
    <x v="0"/>
  </r>
  <r>
    <x v="1"/>
    <x v="0"/>
    <n v="44564"/>
    <x v="7"/>
    <x v="0"/>
    <x v="25"/>
    <x v="1"/>
    <x v="36"/>
    <s v="Nước sốt Dimsum - Hũ 20g, 100 hũ/thùng."/>
    <s v="Hũ"/>
    <n v="22052"/>
    <n v="441.04"/>
    <d v="1899-12-30T00:28:48"/>
    <n v="44625"/>
    <s v="Raised internal sales but cannot be sold out"/>
    <n v="26547053.217599999"/>
    <x v="0"/>
    <n v="21808"/>
    <n v="26253316.5504"/>
    <x v="1"/>
    <x v="0"/>
  </r>
  <r>
    <x v="1"/>
    <x v="0"/>
    <n v="44564"/>
    <x v="5"/>
    <x v="0"/>
    <x v="24"/>
    <x v="2"/>
    <x v="33"/>
    <s v="Chả lụa quết nhất phẩm – 200G"/>
    <s v="Gói"/>
    <n v="680"/>
    <n v="136"/>
    <d v="1899-12-30T04:48:00"/>
    <n v="44571"/>
    <s v="Low sell and Raised internal sale e-approval 15/12/2021"/>
    <n v="15572000"/>
    <x v="0"/>
    <n v="680"/>
    <n v="15572000"/>
    <x v="1"/>
    <x v="0"/>
  </r>
  <r>
    <x v="1"/>
    <x v="0"/>
    <n v="44564"/>
    <x v="4"/>
    <x v="0"/>
    <x v="25"/>
    <x v="2"/>
    <x v="133"/>
    <s v="CJ Bibigo Xốt ướp thịt Bulgogi - Vị mặn ngọt 80 gr"/>
    <s v="Gói"/>
    <n v="46"/>
    <n v="3.68"/>
    <d v="1899-12-30T01:55:12"/>
    <n v="44577"/>
    <s v="Low sell and Raised internal sale e-approval 12/10/2021"/>
    <n v="123416.9972"/>
    <x v="0"/>
    <n v="46"/>
    <n v="123416.9972"/>
    <x v="1"/>
    <x v="0"/>
  </r>
  <r>
    <x v="0"/>
    <x v="11"/>
    <n v="44557"/>
    <x v="5"/>
    <x v="0"/>
    <x v="24"/>
    <x v="2"/>
    <x v="33"/>
    <s v="Chả lụa quết nhất phẩm – 200G"/>
    <s v="Gói"/>
    <n v="2188"/>
    <n v="437.6"/>
    <d v="1899-12-30T04:48:00"/>
    <n v="44561"/>
    <s v="Low sell and Raised internal sale e-approval 30/11/2021 &amp; 15/12/2021"/>
    <n v="50105200"/>
    <x v="0"/>
    <n v="1288"/>
    <n v="29495200"/>
    <x v="1"/>
    <x v="0"/>
  </r>
  <r>
    <x v="1"/>
    <x v="1"/>
    <n v="44603"/>
    <x v="8"/>
    <x v="1"/>
    <x v="22"/>
    <x v="1"/>
    <x v="240"/>
    <s v="Red Yeast Rice Powder"/>
    <s v="Kg"/>
    <n v="16"/>
    <n v="16"/>
    <d v="1899-12-31T00:00:00"/>
    <n v="44621"/>
    <s v="low date + slow using for production"/>
    <n v="366400"/>
    <x v="0"/>
    <n v="16.274999999999999"/>
    <n v="372697.49999999994"/>
    <x v="1"/>
    <x v="0"/>
  </r>
  <r>
    <x v="1"/>
    <x v="1"/>
    <n v="44603"/>
    <x v="8"/>
    <x v="1"/>
    <x v="22"/>
    <x v="1"/>
    <x v="241"/>
    <s v="Chiết xuất trái dành dành"/>
    <s v="Kg"/>
    <n v="2"/>
    <n v="2"/>
    <d v="1899-12-31T00:00:00"/>
    <n v="44628"/>
    <s v="low date + stop using for production"/>
    <n v="2400000"/>
    <x v="0"/>
    <n v="2"/>
    <n v="2400000"/>
    <x v="1"/>
    <x v="0"/>
  </r>
  <r>
    <x v="1"/>
    <x v="1"/>
    <n v="44612"/>
    <x v="8"/>
    <x v="1"/>
    <x v="22"/>
    <x v="1"/>
    <x v="242"/>
    <s v="Hạt lúa mì"/>
    <s v="Kg"/>
    <n v="350"/>
    <n v="350"/>
    <d v="1899-12-31T00:00:00"/>
    <n v="44614"/>
    <s v="Don’t have production plan for this raw material anymore. "/>
    <n v="3255000"/>
    <x v="0"/>
    <n v="350"/>
    <n v="3255000"/>
    <x v="1"/>
    <x v="0"/>
  </r>
  <r>
    <x v="1"/>
    <x v="1"/>
    <n v="44612"/>
    <x v="8"/>
    <x v="1"/>
    <x v="22"/>
    <x v="1"/>
    <x v="243"/>
    <s v="Annatto Color-L ( Màu hạt dầu điều )"/>
    <s v="Kg"/>
    <n v="185"/>
    <n v="185"/>
    <d v="1899-12-31T00:00:00"/>
    <n v="44617"/>
    <s v="Over MOQ, only need 2kg for a year"/>
    <n v="179721467.39130437"/>
    <x v="0"/>
    <n v="186.87100000000001"/>
    <n v="181539082.88043484"/>
    <x v="1"/>
    <x v="0"/>
  </r>
  <r>
    <x v="1"/>
    <x v="2"/>
    <n v="44622"/>
    <x v="8"/>
    <x v="1"/>
    <x v="22"/>
    <x v="1"/>
    <x v="244"/>
    <s v="Bột mì xe đạp CJ Cam"/>
    <s v="Kg"/>
    <n v="325"/>
    <n v="325"/>
    <d v="1899-12-31T00:00:00"/>
    <n v="44614"/>
    <s v="Low using for production and expired"/>
    <n v="3022500"/>
    <x v="0"/>
    <n v="300"/>
    <n v="2790000"/>
    <x v="1"/>
    <x v="0"/>
  </r>
  <r>
    <x v="1"/>
    <x v="2"/>
    <n v="44625"/>
    <x v="5"/>
    <x v="0"/>
    <x v="24"/>
    <x v="2"/>
    <x v="33"/>
    <s v="Chả lụa quết nhất phẩm – 200G"/>
    <s v="Gói"/>
    <n v="840"/>
    <n v="168"/>
    <d v="1899-12-30T04:48:00"/>
    <n v="44626"/>
    <s v="Near expired and Raised in e-approval for internal sale 26.01.2022"/>
    <n v="19238520"/>
    <x v="0"/>
    <n v="840"/>
    <n v="19238520"/>
    <x v="1"/>
    <x v="0"/>
  </r>
  <r>
    <x v="1"/>
    <x v="2"/>
    <n v="44625"/>
    <x v="5"/>
    <x v="0"/>
    <x v="24"/>
    <x v="2"/>
    <x v="33"/>
    <s v="Chả lụa quết nhất phẩm – 200G"/>
    <s v="Gói"/>
    <n v="30"/>
    <n v="6"/>
    <d v="1899-12-30T04:48:00"/>
    <n v="44631"/>
    <s v="Near expired and Raised in e-approval for internal sale 26.01.2022"/>
    <n v="687090"/>
    <x v="0"/>
    <n v="30"/>
    <n v="687090"/>
    <x v="1"/>
    <x v="0"/>
  </r>
  <r>
    <x v="1"/>
    <x v="2"/>
    <n v="44625"/>
    <x v="0"/>
    <x v="0"/>
    <x v="0"/>
    <x v="0"/>
    <x v="245"/>
    <s v="Chả giò REAL thịt – Gói 400g"/>
    <s v="Gói"/>
    <n v="1"/>
    <n v="0.4"/>
    <d v="1899-12-30T09:36:00"/>
    <n v="44905"/>
    <s v="Lỗi mờ date- Phát hiện khi giao hàng PXK212201/7234"/>
    <n v="34794"/>
    <x v="0"/>
    <n v="1"/>
    <n v="34794"/>
    <x v="1"/>
    <x v="0"/>
  </r>
  <r>
    <x v="1"/>
    <x v="2"/>
    <n v="44625"/>
    <x v="0"/>
    <x v="0"/>
    <x v="18"/>
    <x v="0"/>
    <x v="246"/>
    <s v="Bánh Mandu Thịt và Bắp CJ Bibigo – Gói 175g"/>
    <s v="Gói"/>
    <n v="2"/>
    <n v="0.35"/>
    <d v="1899-12-30T04:12:00"/>
    <n v="44845"/>
    <s v="Lỗi mờ date- Phát hiện khi giao hàng PXK212201/7042"/>
    <n v="29600.620200000001"/>
    <x v="0"/>
    <n v="2"/>
    <n v="29600.620200000001"/>
    <x v="1"/>
    <x v="0"/>
  </r>
  <r>
    <x v="1"/>
    <x v="2"/>
    <n v="44625"/>
    <x v="3"/>
    <x v="0"/>
    <x v="12"/>
    <x v="0"/>
    <x v="5"/>
    <s v="Bibigo Kimchi cải thảo cây 1kg"/>
    <s v="Túi"/>
    <n v="1"/>
    <n v="1"/>
    <d v="1899-12-31T00:00:00"/>
    <n v="44630"/>
    <s v="Lỗi mờ date- Phát hiện khi giao hàng PXK212201/7043"/>
    <n v="45900.041100000002"/>
    <x v="2"/>
    <n v="0"/>
    <n v="0"/>
    <x v="1"/>
    <x v="0"/>
  </r>
  <r>
    <x v="1"/>
    <x v="2"/>
    <n v="44625"/>
    <x v="0"/>
    <x v="0"/>
    <x v="18"/>
    <x v="0"/>
    <x v="168"/>
    <s v="Bánh Mandu Thịt CJ Bibigo – Gói 175g"/>
    <s v="Gói"/>
    <n v="1"/>
    <n v="0.17499999999999999"/>
    <d v="1899-12-30T04:12:00"/>
    <n v="44839"/>
    <s v="Lỗi mờ date- Phát hiện khi giao hàng PXK212202/5943"/>
    <n v="12500.000700000001"/>
    <x v="0"/>
    <n v="1"/>
    <n v="12500.000700000001"/>
    <x v="1"/>
    <x v="0"/>
  </r>
  <r>
    <x v="1"/>
    <x v="2"/>
    <n v="44629"/>
    <x v="8"/>
    <x v="1"/>
    <x v="22"/>
    <x v="1"/>
    <x v="247"/>
    <s v="Hương cốm GF190509-M1"/>
    <s v="Kg"/>
    <n v="120"/>
    <n v="120"/>
    <d v="1899-12-31T00:00:00"/>
    <n v="44642"/>
    <s v="Cannot clear stock before expiry date and near expired"/>
    <n v="30001833.415637866"/>
    <x v="0"/>
    <n v="120"/>
    <n v="30001833.415637866"/>
    <x v="1"/>
    <x v="0"/>
  </r>
  <r>
    <x v="1"/>
    <x v="2"/>
    <n v="44629"/>
    <x v="8"/>
    <x v="1"/>
    <x v="22"/>
    <x v="3"/>
    <x v="194"/>
    <s v="Nước tương đậu nành / Soybean sauce"/>
    <s v="LIT"/>
    <n v="171.5"/>
    <n v="171.5"/>
    <d v="1899-12-31T00:00:00"/>
    <n v="44632"/>
    <s v="Cannot clear stock before expiry date and near expired + Raised internal sales e-approval on 20.02.2022"/>
    <n v="5613345.3090909086"/>
    <x v="0"/>
    <n v="0"/>
    <n v="0"/>
    <x v="1"/>
    <x v="0"/>
  </r>
  <r>
    <x v="1"/>
    <x v="2"/>
    <n v="44635"/>
    <x v="8"/>
    <x v="1"/>
    <x v="22"/>
    <x v="1"/>
    <x v="175"/>
    <s v="Men khô hiệu Saf Instant nhãn vàng ( đầu bếp ngọt)"/>
    <s v="Kg"/>
    <n v="49.8"/>
    <n v="49.8"/>
    <d v="1899-12-31T00:00:00"/>
    <n v="44657"/>
    <s v="Slow moving, cannot clear stock before expiry date and near expired"/>
    <n v="4300909"/>
    <x v="0"/>
    <n v="49.8"/>
    <n v="4300909"/>
    <x v="1"/>
    <x v="0"/>
  </r>
  <r>
    <x v="1"/>
    <x v="2"/>
    <n v="44635"/>
    <x v="8"/>
    <x v="1"/>
    <x v="22"/>
    <x v="3"/>
    <x v="208"/>
    <s v="TasteNrich Master U5 (HG)"/>
    <s v="Kg"/>
    <n v="1"/>
    <n v="1"/>
    <d v="1899-12-31T00:00:00"/>
    <n v="44694"/>
    <s v="No plan production and near expired"/>
    <n v="250000"/>
    <x v="0"/>
    <n v="1"/>
    <n v="250000"/>
    <x v="1"/>
    <x v="0"/>
  </r>
  <r>
    <x v="1"/>
    <x v="2"/>
    <n v="44639"/>
    <x v="7"/>
    <x v="0"/>
    <x v="42"/>
    <x v="2"/>
    <x v="158"/>
    <s v="Bột mì loại 1 - 20KG"/>
    <s v="Bao"/>
    <n v="1"/>
    <n v="20"/>
    <d v="1900-01-19T00:00:00"/>
    <n v="44644"/>
    <s v="Low sales "/>
    <n v="303298.61290000001"/>
    <x v="0"/>
    <n v="1"/>
    <n v="303298.61290000001"/>
    <x v="1"/>
    <x v="0"/>
  </r>
  <r>
    <x v="1"/>
    <x v="2"/>
    <n v="44638"/>
    <x v="8"/>
    <x v="1"/>
    <x v="22"/>
    <x v="3"/>
    <x v="247"/>
    <s v="Hương cốm GF190509-M1"/>
    <s v="Kg"/>
    <n v="20"/>
    <n v="20"/>
    <d v="1899-12-31T00:00:00"/>
    <n v="44642"/>
    <s v="Slow moving, cannot clear stock before expiry date and near expired"/>
    <n v="5000300"/>
    <x v="2"/>
    <n v="0"/>
    <n v="0"/>
    <x v="1"/>
    <x v="0"/>
  </r>
  <r>
    <x v="1"/>
    <x v="2"/>
    <n v="44637"/>
    <x v="3"/>
    <x v="0"/>
    <x v="12"/>
    <x v="1"/>
    <x v="177"/>
    <s v="Frozen kimchi 500gr-CJ Mainfrost"/>
    <s v="Hộp"/>
    <n v="6523"/>
    <n v="3261.5"/>
    <d v="1899-12-30T12:00:00"/>
    <n v="44675"/>
    <s v="Raised internal sales e-approval on 03 Jan but it has low sales volume, cannot clear stock before expiry date and near expired "/>
    <n v="140430871.42857143"/>
    <x v="0"/>
    <n v="6516"/>
    <n v="140280171.42857143"/>
    <x v="1"/>
    <x v="0"/>
  </r>
  <r>
    <x v="1"/>
    <x v="2"/>
    <n v="44644"/>
    <x v="3"/>
    <x v="0"/>
    <x v="21"/>
    <x v="2"/>
    <x v="65"/>
    <s v="Đậu hũ chiên Ông Kim's 350gr"/>
    <s v="Hộp"/>
    <n v="25"/>
    <n v="8.75"/>
    <d v="1899-12-30T08:24:00"/>
    <n v="44648"/>
    <s v="Slow moving"/>
    <n v="330001.13636363635"/>
    <x v="0"/>
    <n v="25"/>
    <n v="330001.13636363635"/>
    <x v="1"/>
    <x v="0"/>
  </r>
  <r>
    <x v="1"/>
    <x v="2"/>
    <n v="44644"/>
    <x v="5"/>
    <x v="0"/>
    <x v="24"/>
    <x v="2"/>
    <x v="181"/>
    <s v="Chả lụa quết Cầu Tre - Chả bì 500gr"/>
    <s v="Gói"/>
    <n v="134"/>
    <n v="67"/>
    <d v="1899-12-30T12:00:00"/>
    <n v="44648"/>
    <s v="Slow moving"/>
    <n v="10478800"/>
    <x v="0"/>
    <n v="134"/>
    <n v="10478800"/>
    <x v="1"/>
    <x v="0"/>
  </r>
  <r>
    <x v="1"/>
    <x v="2"/>
    <n v="44644"/>
    <x v="4"/>
    <x v="0"/>
    <x v="43"/>
    <x v="0"/>
    <x v="248"/>
    <s v="사계절쌈장(캔) 14kTương trộn ăn liền 14kg"/>
    <s v="EA"/>
    <n v="62"/>
    <n v="868"/>
    <d v="1900-01-13T00:00:00"/>
    <n v="44705"/>
    <s v="Slow moving"/>
    <n v="20600041.7126"/>
    <x v="0"/>
    <n v="62"/>
    <n v="20600041.7126"/>
    <x v="1"/>
    <x v="0"/>
  </r>
  <r>
    <x v="1"/>
    <x v="2"/>
    <n v="44643"/>
    <x v="8"/>
    <x v="1"/>
    <x v="22"/>
    <x v="1"/>
    <x v="249"/>
    <s v="Xốt dầu ớt"/>
    <s v="Kg"/>
    <n v="10"/>
    <n v="10"/>
    <d v="1899-12-31T00:00:00"/>
    <n v="44652"/>
    <s v="Low usage for production and cannot clear stock before expiry date"/>
    <n v="4814300"/>
    <x v="0"/>
    <n v="10"/>
    <n v="4814300"/>
    <x v="1"/>
    <x v="0"/>
  </r>
  <r>
    <x v="1"/>
    <x v="2"/>
    <n v="44643"/>
    <x v="8"/>
    <x v="1"/>
    <x v="22"/>
    <x v="1"/>
    <x v="250"/>
    <s v="Chế phẩm hương liệu (Flavouring preparation AL2418)"/>
    <s v="Kg"/>
    <n v="70"/>
    <n v="70"/>
    <d v="1899-12-31T00:00:00"/>
    <n v="44666"/>
    <s v="No production plan and near expired"/>
    <n v="16100000"/>
    <x v="0"/>
    <n v="70"/>
    <n v="16100000"/>
    <x v="1"/>
    <x v="0"/>
  </r>
  <r>
    <x v="1"/>
    <x v="2"/>
    <n v="44643"/>
    <x v="8"/>
    <x v="1"/>
    <x v="22"/>
    <x v="1"/>
    <x v="162"/>
    <s v="Hạt nêm gà –  Dasida Chicken Essence Seasoning"/>
    <s v="Kg"/>
    <n v="189"/>
    <n v="189"/>
    <d v="1899-12-31T00:00:00"/>
    <n v="44680"/>
    <s v="No production plan and near expired"/>
    <n v="7608494.5208845204"/>
    <x v="0"/>
    <n v="189"/>
    <n v="7608494.5208845204"/>
    <x v="1"/>
    <x v="0"/>
  </r>
  <r>
    <x v="1"/>
    <x v="2"/>
    <n v="44643"/>
    <x v="8"/>
    <x v="1"/>
    <x v="22"/>
    <x v="1"/>
    <x v="179"/>
    <s v="Tôm sú"/>
    <s v="Kg"/>
    <n v="37"/>
    <n v="37"/>
    <d v="1899-12-31T00:00:00"/>
    <n v="44692"/>
    <s v="Raised internal sales (19.01.2022) but it has low sales volume, cannot clear stock before expiry date and near expired"/>
    <n v="3885000"/>
    <x v="0"/>
    <n v="37"/>
    <n v="3885000"/>
    <x v="1"/>
    <x v="0"/>
  </r>
  <r>
    <x v="1"/>
    <x v="3"/>
    <n v="44652"/>
    <x v="4"/>
    <x v="0"/>
    <x v="25"/>
    <x v="2"/>
    <x v="190"/>
    <s v="(BEKSUL) Xốt ướp Bulgogi bò 290G"/>
    <s v="Hũ"/>
    <n v="102"/>
    <n v="35.699999999999996"/>
    <d v="1899-12-30T08:24:00"/>
    <n v="44656"/>
    <s v="Raised for internal sales (15 Feb - quantity 236) but cannot clear stock before expiry date"/>
    <n v="1577198.8476"/>
    <x v="0"/>
    <n v="102"/>
    <n v="1577198.8476"/>
    <x v="1"/>
    <x v="0"/>
  </r>
  <r>
    <x v="1"/>
    <x v="3"/>
    <n v="44652"/>
    <x v="4"/>
    <x v="0"/>
    <x v="25"/>
    <x v="2"/>
    <x v="192"/>
    <s v="(BEKSUL) Xốt ướp Bulgogi heo 290G"/>
    <s v="Hũ"/>
    <n v="46"/>
    <n v="23"/>
    <d v="1899-12-30T12:00:00"/>
    <n v="44657"/>
    <s v="Raised for internal sales (15 Feb - quantity 157) but cannot clear stock before expiry date"/>
    <n v="779598.02260000003"/>
    <x v="0"/>
    <n v="46"/>
    <n v="779598.02260000003"/>
    <x v="1"/>
    <x v="0"/>
  </r>
  <r>
    <x v="1"/>
    <x v="3"/>
    <n v="44652"/>
    <x v="2"/>
    <x v="0"/>
    <x v="36"/>
    <x v="2"/>
    <x v="7"/>
    <s v="Nước Uống Collagen Innerb Glowshot ((50ML*6EA)*10EA/CT)"/>
    <s v="Hộp"/>
    <n v="73"/>
    <n v="21.9"/>
    <d v="1899-12-30T07:12:00"/>
    <n v="44657"/>
    <s v="Raised for internal sales (15 Feb - quantity 73) but cannot clear stock before expiry date"/>
    <n v="4951248.3161999993"/>
    <x v="0"/>
    <n v="73"/>
    <n v="4951248.3161999993"/>
    <x v="1"/>
    <x v="0"/>
  </r>
  <r>
    <x v="1"/>
    <x v="3"/>
    <n v="44652"/>
    <x v="5"/>
    <x v="0"/>
    <x v="24"/>
    <x v="2"/>
    <x v="183"/>
    <s v="Chả lụa quết Cầu Tre - Chả bì ớt xiêm xanh 500gr"/>
    <s v="Gói"/>
    <n v="1044"/>
    <n v="522"/>
    <d v="1899-12-30T12:00:00"/>
    <n v="44659"/>
    <s v="Raised for internal sales (25 Mar- quantity 1,599) but cannot clear stock before expiry date"/>
    <n v="63684000"/>
    <x v="0"/>
    <n v="444"/>
    <n v="27084000"/>
    <x v="1"/>
    <x v="0"/>
  </r>
  <r>
    <x v="1"/>
    <x v="3"/>
    <n v="44659"/>
    <x v="8"/>
    <x v="1"/>
    <x v="22"/>
    <x v="3"/>
    <x v="162"/>
    <s v="Hạt nêm gà –  Dasida Chicken Essence Seasoning"/>
    <s v="Kg"/>
    <n v="7.98"/>
    <n v="7.98"/>
    <d v="1899-12-31T00:00:00"/>
    <n v="44680"/>
    <s v="No production plan and nearly expired"/>
    <n v="321247.54643734643"/>
    <x v="0"/>
    <n v="7.98"/>
    <n v="321247.54643734643"/>
    <x v="1"/>
    <x v="0"/>
  </r>
  <r>
    <x v="1"/>
    <x v="3"/>
    <n v="44663"/>
    <x v="3"/>
    <x v="0"/>
    <x v="12"/>
    <x v="1"/>
    <x v="176"/>
    <s v="Frozen kimchi 60gr*5-CJ Mainfrost"/>
    <s v="Pack 5ea"/>
    <n v="2885"/>
    <n v="900"/>
    <d v="1899-12-30T07:12:00"/>
    <n v="44687"/>
    <s v="Raised for internal sales (31Dec - quantity 3000) but cannot clear stock before expiry date"/>
    <n v="51761708.333333336"/>
    <x v="0"/>
    <n v="2873"/>
    <n v="51546408.333333336"/>
    <x v="1"/>
    <x v="0"/>
  </r>
  <r>
    <x v="1"/>
    <x v="3"/>
    <n v="44663"/>
    <x v="3"/>
    <x v="0"/>
    <x v="12"/>
    <x v="1"/>
    <x v="176"/>
    <s v="Frozen kimchi 60gr*5-CJ Mainfrost"/>
    <s v="Pack 5ea"/>
    <n v="3000"/>
    <n v="900"/>
    <d v="1899-12-30T07:12:00"/>
    <n v="44688"/>
    <s v="Raised for internal sales (31Dec - quantity 3000) but cannot clear stock before expiry date"/>
    <n v="53825000"/>
    <x v="0"/>
    <n v="3000"/>
    <n v="53825000"/>
    <x v="1"/>
    <x v="0"/>
  </r>
  <r>
    <x v="1"/>
    <x v="3"/>
    <n v="44664"/>
    <x v="8"/>
    <x v="1"/>
    <x v="22"/>
    <x v="3"/>
    <x v="251"/>
    <s v="Hỗn hợp gia vị ớt"/>
    <s v="Kg"/>
    <n v="5"/>
    <n v="0"/>
    <m/>
    <n v="44692"/>
    <s v="Cannot be used up for production plan, and now we raise Giveaway to Canteen for testing its usage"/>
    <n v="339099.42920353985"/>
    <x v="0"/>
    <n v="5"/>
    <n v="339099.42920353985"/>
    <x v="1"/>
    <x v="0"/>
  </r>
  <r>
    <x v="1"/>
    <x v="3"/>
    <n v="44664"/>
    <x v="8"/>
    <x v="1"/>
    <x v="22"/>
    <x v="1"/>
    <x v="252"/>
    <s v="Chất tăng vị M-Super YE"/>
    <s v="Kg"/>
    <n v="1"/>
    <n v="0"/>
    <m/>
    <n v="44727"/>
    <s v="Cannot be used up for production plan, and now we raise Giveaway to Canteen for testing its usage"/>
    <n v="745037.00097370998"/>
    <x v="1"/>
    <n v="0"/>
    <n v="0"/>
    <x v="1"/>
    <x v="0"/>
  </r>
  <r>
    <x v="1"/>
    <x v="3"/>
    <n v="44664"/>
    <x v="8"/>
    <x v="1"/>
    <x v="22"/>
    <x v="1"/>
    <x v="253"/>
    <s v="Hương tỏi tươi SA-06661"/>
    <s v="Kg"/>
    <n v="25"/>
    <n v="0"/>
    <m/>
    <n v="44728"/>
    <s v="No production plan and cannot be used up before expiry date. And it is hardly to sell internally"/>
    <n v="7500000"/>
    <x v="0"/>
    <n v="25"/>
    <n v="7500000"/>
    <x v="1"/>
    <x v="0"/>
  </r>
  <r>
    <x v="1"/>
    <x v="3"/>
    <n v="44664"/>
    <x v="8"/>
    <x v="1"/>
    <x v="22"/>
    <x v="1"/>
    <x v="254"/>
    <s v="Màu Redbeet 322 WS"/>
    <s v="Kg"/>
    <n v="2.66"/>
    <n v="0"/>
    <m/>
    <n v="44670"/>
    <s v="Used for Dimsum and cannot be used up before expiry date"/>
    <n v="2150769.6"/>
    <x v="2"/>
    <n v="0"/>
    <n v="0"/>
    <x v="1"/>
    <x v="0"/>
  </r>
  <r>
    <x v="1"/>
    <x v="3"/>
    <n v="44664"/>
    <x v="8"/>
    <x v="1"/>
    <x v="22"/>
    <x v="3"/>
    <x v="254"/>
    <s v="Màu Redbeet 322 WS"/>
    <s v="Kg"/>
    <n v="1.28"/>
    <n v="0"/>
    <m/>
    <n v="44670"/>
    <s v="Used for Dimsum and cannot be used up before expiry date"/>
    <n v="1034956.8"/>
    <x v="2"/>
    <n v="0"/>
    <n v="0"/>
    <x v="1"/>
    <x v="0"/>
  </r>
  <r>
    <x v="1"/>
    <x v="3"/>
    <n v="44676"/>
    <x v="3"/>
    <x v="0"/>
    <x v="21"/>
    <x v="2"/>
    <x v="65"/>
    <s v="Đậu hũ BIBIGO Chiên Túi 350g"/>
    <s v="EA"/>
    <n v="5"/>
    <n v="1.75"/>
    <d v="1899-12-30T08:24:00"/>
    <n v="44677"/>
    <s v="Nearly expired"/>
    <n v="66000.227272727265"/>
    <x v="0"/>
    <n v="5"/>
    <n v="66000.227272727265"/>
    <x v="1"/>
    <x v="0"/>
  </r>
  <r>
    <x v="1"/>
    <x v="3"/>
    <n v="44676"/>
    <x v="3"/>
    <x v="0"/>
    <x v="21"/>
    <x v="2"/>
    <x v="66"/>
    <s v="Đậu hũ BIBIGO Miếng Hộp 250g"/>
    <s v="EA"/>
    <n v="2"/>
    <n v="0.5"/>
    <d v="1899-12-30T06:00:00"/>
    <n v="44677"/>
    <s v="Nearly expired"/>
    <n v="14200"/>
    <x v="0"/>
    <n v="0"/>
    <n v="0"/>
    <x v="1"/>
    <x v="0"/>
  </r>
  <r>
    <x v="1"/>
    <x v="3"/>
    <n v="44676"/>
    <x v="5"/>
    <x v="0"/>
    <x v="16"/>
    <x v="2"/>
    <x v="26"/>
    <s v="Chả cá viên 500g"/>
    <s v="Túi"/>
    <n v="24"/>
    <n v="12"/>
    <d v="1899-12-30T12:00:00"/>
    <n v="44683"/>
    <s v="Raised for internal sales (04 Apr - quantity 402) but cannot clear stock before expiry date"/>
    <n v="789599.99040000001"/>
    <x v="0"/>
    <n v="24"/>
    <n v="789599.99040000001"/>
    <x v="1"/>
    <x v="0"/>
  </r>
  <r>
    <x v="1"/>
    <x v="3"/>
    <n v="44680"/>
    <x v="5"/>
    <x v="0"/>
    <x v="24"/>
    <x v="0"/>
    <x v="225"/>
    <s v="Chả lụa quết Cầu Tre - Chả bì ớt xiêm xanh 200gr"/>
    <s v="Gói"/>
    <n v="1"/>
    <n v="0.2"/>
    <d v="1899-12-30T04:48:00"/>
    <n v="44681"/>
    <s v="Slow moving, nearly expired"/>
    <n v="24373.296231375985"/>
    <x v="1"/>
    <n v="0"/>
    <n v="0"/>
    <x v="1"/>
    <x v="0"/>
  </r>
  <r>
    <x v="1"/>
    <x v="3"/>
    <n v="44680"/>
    <x v="3"/>
    <x v="0"/>
    <x v="21"/>
    <x v="2"/>
    <x v="65"/>
    <s v="Đậu hũ BIBIGO Chiên Túi 350g"/>
    <s v="EA"/>
    <n v="68"/>
    <n v="23.799999999999997"/>
    <d v="1899-12-30T08:24:00"/>
    <n v="44684"/>
    <s v="Slow moving, nearly expired. National holiday is coming and it is unable to be sold internally before expiry date "/>
    <n v="897603.09090909082"/>
    <x v="0"/>
    <n v="68"/>
    <n v="897603.09090909082"/>
    <x v="1"/>
    <x v="0"/>
  </r>
  <r>
    <x v="1"/>
    <x v="3"/>
    <n v="44680"/>
    <x v="0"/>
    <x v="0"/>
    <x v="18"/>
    <x v="0"/>
    <x v="255"/>
    <s v="Bibigo Mandu Thịt 175g - CT tặng kèm Chà giò Cầu Tre (thùng 20 gói) - Tặng Real Thịt, Real Hải Sản, Da Xốp Thịt"/>
    <s v="Gói"/>
    <n v="3"/>
    <n v="0.52499999999999991"/>
    <d v="1899-12-30T04:12:00"/>
    <n v="44840"/>
    <s v="Quality - Lỗi mờ date- Lỗi phát hiện trong kho"/>
    <n v="37500.002099999998"/>
    <x v="1"/>
    <n v="0"/>
    <n v="0"/>
    <x v="1"/>
    <x v="0"/>
  </r>
  <r>
    <x v="1"/>
    <x v="3"/>
    <n v="44680"/>
    <x v="0"/>
    <x v="0"/>
    <x v="18"/>
    <x v="0"/>
    <x v="246"/>
    <s v="Bánh Mandu Thịt và Bắp CJ Bibigo – Gói 175g"/>
    <s v="Gói"/>
    <n v="1"/>
    <n v="0.17499999999999999"/>
    <d v="1899-12-30T04:12:00"/>
    <n v="44978"/>
    <s v="Quality - Lỗi mờ date- Phát hiện khi giao hàng PXK212204/8343"/>
    <n v="14800.310100000001"/>
    <x v="1"/>
    <n v="0"/>
    <n v="0"/>
    <x v="1"/>
    <x v="0"/>
  </r>
  <r>
    <x v="1"/>
    <x v="3"/>
    <n v="44680"/>
    <x v="0"/>
    <x v="0"/>
    <x v="18"/>
    <x v="0"/>
    <x v="111"/>
    <s v="Bánh Mandu Thịt và Bắp CJ Bibigo – Gói 350g"/>
    <s v="Gói"/>
    <n v="2"/>
    <n v="0.7"/>
    <d v="1899-12-30T08:24:00"/>
    <n v="44978"/>
    <s v="Quality - Lỗi mờ date- Phát hiện khi giao hàng PXK212203/7331"/>
    <n v="52801.03031705624"/>
    <x v="1"/>
    <n v="0"/>
    <n v="0"/>
    <x v="1"/>
    <x v="0"/>
  </r>
  <r>
    <x v="1"/>
    <x v="3"/>
    <n v="44680"/>
    <x v="0"/>
    <x v="0"/>
    <x v="18"/>
    <x v="0"/>
    <x v="246"/>
    <s v="Bánh Mandu Thịt và Bắp CJ Bibigo – Gói 175g"/>
    <s v="Gói"/>
    <n v="6"/>
    <n v="1.0499999999999998"/>
    <d v="1899-12-30T04:12:00"/>
    <n v="44982"/>
    <s v="Quality - Lỗi mờ date- Lỗi phát hiện trong kho"/>
    <n v="88801.8606"/>
    <x v="1"/>
    <n v="0"/>
    <n v="0"/>
    <x v="1"/>
    <x v="0"/>
  </r>
  <r>
    <x v="1"/>
    <x v="3"/>
    <n v="44680"/>
    <x v="0"/>
    <x v="0"/>
    <x v="18"/>
    <x v="0"/>
    <x v="111"/>
    <s v="Bánh Mandu Thịt và Bắp CJ Bibigo – Gói 350g"/>
    <s v="Gói"/>
    <n v="1"/>
    <n v="0.35"/>
    <d v="1899-12-30T08:24:00"/>
    <n v="44988"/>
    <s v="Quality - Lỗi mờ date- Phát hiện khi giao hàng PXK212204/3768"/>
    <n v="26400.51515852812"/>
    <x v="1"/>
    <n v="0"/>
    <n v="0"/>
    <x v="1"/>
    <x v="0"/>
  </r>
  <r>
    <x v="1"/>
    <x v="3"/>
    <n v="44680"/>
    <x v="0"/>
    <x v="0"/>
    <x v="18"/>
    <x v="0"/>
    <x v="246"/>
    <s v="Bánh Mandu Thịt và Bắp CJ Bibigo – Gói 175g"/>
    <s v="Gói"/>
    <n v="1"/>
    <n v="0.17499999999999999"/>
    <d v="1899-12-30T04:12:00"/>
    <m/>
    <s v="Quality - Lỗi mờ date- Lỗi phát hiện trong kho"/>
    <n v="14800.310100000001"/>
    <x v="1"/>
    <n v="0"/>
    <n v="0"/>
    <x v="1"/>
    <x v="0"/>
  </r>
  <r>
    <x v="1"/>
    <x v="3"/>
    <n v="44681"/>
    <x v="8"/>
    <x v="1"/>
    <x v="22"/>
    <x v="3"/>
    <x v="251"/>
    <s v="Hỗn hợp gia vị ớt"/>
    <s v="Kg"/>
    <n v="10"/>
    <n v="10"/>
    <d v="1899-12-31T00:00:00"/>
    <n v="44692"/>
    <s v="Cannot be used up for production plan (Canteen tested and confirmed their demand for this item)"/>
    <n v="678198.85840707971"/>
    <x v="1"/>
    <n v="0"/>
    <n v="0"/>
    <x v="1"/>
    <x v="0"/>
  </r>
  <r>
    <x v="1"/>
    <x v="3"/>
    <n v="44681"/>
    <x v="8"/>
    <x v="1"/>
    <x v="22"/>
    <x v="1"/>
    <x v="213"/>
    <s v="Bột chiên Gà Nugget 10 Kg"/>
    <s v="Kg"/>
    <n v="300"/>
    <n v="300"/>
    <d v="1899-12-31T00:00:00"/>
    <n v="44695"/>
    <s v="Previously used for FunMix (de-mkt) and now cannot be used up for production plan"/>
    <n v="9600000"/>
    <x v="1"/>
    <n v="0"/>
    <n v="0"/>
    <x v="1"/>
    <x v="0"/>
  </r>
  <r>
    <x v="1"/>
    <x v="3"/>
    <n v="44681"/>
    <x v="8"/>
    <x v="1"/>
    <x v="22"/>
    <x v="1"/>
    <x v="213"/>
    <s v="Bột chiên Gà Nugget 10 Kg"/>
    <s v="Kg"/>
    <n v="360"/>
    <n v="360"/>
    <d v="1899-12-31T00:00:00"/>
    <n v="44695"/>
    <s v="Previously used for FunMix (de-mkt) and now cannot be used up for production plan"/>
    <n v="11520000"/>
    <x v="1"/>
    <n v="0"/>
    <n v="0"/>
    <x v="1"/>
    <x v="0"/>
  </r>
  <r>
    <x v="1"/>
    <x v="3"/>
    <n v="44681"/>
    <x v="8"/>
    <x v="1"/>
    <x v="22"/>
    <x v="1"/>
    <x v="150"/>
    <s v="Bột trộn sẵn Breader 10 Kg"/>
    <s v="Kg"/>
    <n v="30"/>
    <n v="30"/>
    <d v="1899-12-31T00:00:00"/>
    <n v="44695"/>
    <s v="Previously used for FunMix (de-mkt) and now cannot be used up for production plan"/>
    <n v="1050000"/>
    <x v="1"/>
    <n v="0"/>
    <n v="0"/>
    <x v="1"/>
    <x v="0"/>
  </r>
  <r>
    <x v="1"/>
    <x v="3"/>
    <n v="44681"/>
    <x v="8"/>
    <x v="1"/>
    <x v="22"/>
    <x v="1"/>
    <x v="150"/>
    <s v="Bột trộn sẵn Breader 10 Kg"/>
    <s v="Kg"/>
    <n v="110"/>
    <n v="110"/>
    <d v="1899-12-31T00:00:00"/>
    <n v="44695"/>
    <s v="Previously used for FunMix (de-mkt) and now cannot be used up for production plan"/>
    <n v="3850000"/>
    <x v="1"/>
    <n v="0"/>
    <n v="0"/>
    <x v="1"/>
    <x v="0"/>
  </r>
  <r>
    <x v="1"/>
    <x v="4"/>
    <n v="44684"/>
    <x v="3"/>
    <x v="0"/>
    <x v="12"/>
    <x v="0"/>
    <x v="30"/>
    <s v="Kim chi cải thảo cắt lát Bibigo Ông Kim's 500gr"/>
    <s v="Hộp"/>
    <n v="3"/>
    <n v="1.5"/>
    <d v="1899-12-30T12:00:00"/>
    <n v="44686"/>
    <s v="Hàng NPP trả về (nearly expired to implement internal sales)"/>
    <n v="70200"/>
    <x v="1"/>
    <n v="0"/>
    <n v="0"/>
    <x v="1"/>
    <x v="0"/>
  </r>
  <r>
    <x v="1"/>
    <x v="4"/>
    <n v="44684"/>
    <x v="1"/>
    <x v="0"/>
    <x v="41"/>
    <x v="2"/>
    <x v="130"/>
    <s v="Cháo tươi Gà Bát Bưởu Túi 250gr"/>
    <s v="EA"/>
    <n v="1"/>
    <n v="0.25"/>
    <d v="1899-12-30T06:00:00"/>
    <n v="44688"/>
    <s v="Small quantity, cannot sell B2C, nearly expired to implement internal sales"/>
    <n v="12698.8611"/>
    <x v="1"/>
    <n v="0"/>
    <n v="0"/>
    <x v="1"/>
    <x v="0"/>
  </r>
  <r>
    <x v="1"/>
    <x v="4"/>
    <n v="44684"/>
    <x v="5"/>
    <x v="0"/>
    <x v="16"/>
    <x v="2"/>
    <x v="26"/>
    <s v="Chả cá viên 500g"/>
    <s v="Túi"/>
    <n v="144"/>
    <n v="72"/>
    <d v="1899-12-30T12:00:00"/>
    <n v="44688"/>
    <s v="Raised internal sales (04 April) but cannot clear stock before expiry date"/>
    <n v="4737599.9424000001"/>
    <x v="1"/>
    <n v="0"/>
    <n v="0"/>
    <x v="1"/>
    <x v="0"/>
  </r>
  <r>
    <x v="1"/>
    <x v="4"/>
    <n v="44684"/>
    <x v="5"/>
    <x v="0"/>
    <x v="24"/>
    <x v="2"/>
    <x v="225"/>
    <s v="Chả lụa quết Cầu Tre - Chả bì ớt xiêm xanh 200g"/>
    <s v="EA"/>
    <n v="26"/>
    <n v="5.2"/>
    <d v="1899-12-30T04:48:00"/>
    <n v="44688"/>
    <s v="Raised internal sales (18 April) but cannot clear stock before expiry date"/>
    <n v="633705.70201577561"/>
    <x v="1"/>
    <n v="0"/>
    <n v="0"/>
    <x v="1"/>
    <x v="0"/>
  </r>
  <r>
    <x v="1"/>
    <x v="4"/>
    <n v="44684"/>
    <x v="5"/>
    <x v="0"/>
    <x v="24"/>
    <x v="2"/>
    <x v="181"/>
    <s v="Chả lụa quết Cầu Tre - Chả bì 500gr"/>
    <s v="EA"/>
    <n v="46"/>
    <n v="23"/>
    <d v="1899-12-30T12:00:00"/>
    <n v="44688"/>
    <s v="Raised internal sales (18 April) but cannot clear stock before expiry date"/>
    <n v="3597200"/>
    <x v="1"/>
    <n v="0"/>
    <n v="0"/>
    <x v="1"/>
    <x v="0"/>
  </r>
  <r>
    <x v="1"/>
    <x v="4"/>
    <n v="44684"/>
    <x v="5"/>
    <x v="0"/>
    <x v="24"/>
    <x v="2"/>
    <x v="183"/>
    <s v="Chả lụa quết Cầu Tre - Chả bì ớt xiêm xanh 500gr"/>
    <s v="EA"/>
    <n v="144"/>
    <n v="72"/>
    <d v="1899-12-30T12:00:00"/>
    <n v="44688"/>
    <s v="Raised internal sales (18 April) but cannot clear stock before expiry date"/>
    <n v="8784000"/>
    <x v="1"/>
    <n v="0"/>
    <n v="0"/>
    <x v="1"/>
    <x v="0"/>
  </r>
  <r>
    <x v="1"/>
    <x v="4"/>
    <n v="44684"/>
    <x v="5"/>
    <x v="0"/>
    <x v="16"/>
    <x v="2"/>
    <x v="26"/>
    <s v="Chả cá viên 500g"/>
    <s v="Túi"/>
    <n v="958"/>
    <n v="479"/>
    <d v="1899-12-30T12:00:00"/>
    <n v="44690"/>
    <s v="Raised internal sales (04 April) but cannot clear stock before expiry date"/>
    <n v="31518199.616800003"/>
    <x v="1"/>
    <n v="0"/>
    <n v="0"/>
    <x v="1"/>
    <x v="0"/>
  </r>
  <r>
    <x v="1"/>
    <x v="4"/>
    <n v="44684"/>
    <x v="5"/>
    <x v="0"/>
    <x v="24"/>
    <x v="2"/>
    <x v="181"/>
    <s v="Chả lụa quết Cầu Tre - Chả bì 500gr"/>
    <s v="EA"/>
    <n v="97"/>
    <n v="48.5"/>
    <d v="1899-12-30T12:00:00"/>
    <n v="44691"/>
    <s v="Raised internal sales (18 April) but cannot clear stock before expiry date"/>
    <n v="7585400"/>
    <x v="1"/>
    <n v="0"/>
    <n v="0"/>
    <x v="1"/>
    <x v="0"/>
  </r>
  <r>
    <x v="1"/>
    <x v="4"/>
    <n v="44684"/>
    <x v="3"/>
    <x v="0"/>
    <x v="21"/>
    <x v="2"/>
    <x v="65"/>
    <s v="Đậu hũ BIBIGO Chiên Túi 350g"/>
    <s v="EA"/>
    <n v="40"/>
    <n v="14"/>
    <d v="1899-12-30T08:24:00"/>
    <n v="44691"/>
    <s v="Small quantity, cannot sell B2C, nearly expired to implement internal sales"/>
    <n v="528001.81818181812"/>
    <x v="1"/>
    <n v="0"/>
    <n v="0"/>
    <x v="1"/>
    <x v="0"/>
  </r>
  <r>
    <x v="1"/>
    <x v="4"/>
    <n v="44684"/>
    <x v="3"/>
    <x v="0"/>
    <x v="21"/>
    <x v="2"/>
    <x v="87"/>
    <s v="Đậu hũ BIBIGO Non Túi 220g"/>
    <s v="EA"/>
    <n v="1"/>
    <n v="0.22"/>
    <d v="1899-12-30T05:16:48"/>
    <n v="44691"/>
    <s v="Small quantity, cannot sell B2C, nearly expired to implement internal sales"/>
    <n v="5300"/>
    <x v="1"/>
    <n v="0"/>
    <n v="0"/>
    <x v="1"/>
    <x v="0"/>
  </r>
  <r>
    <x v="1"/>
    <x v="4"/>
    <n v="44690"/>
    <x v="8"/>
    <x v="1"/>
    <x v="22"/>
    <x v="1"/>
    <x v="179"/>
    <s v="Tôm sú"/>
    <s v="Kg"/>
    <n v="2.6"/>
    <n v="2.6"/>
    <d v="1899-12-31T00:00:00"/>
    <n v="44692"/>
    <s v="Slow moving, cannot used up before expiry date"/>
    <n v="273000"/>
    <x v="1"/>
    <n v="0"/>
    <n v="0"/>
    <x v="1"/>
    <x v="0"/>
  </r>
  <r>
    <x v="0"/>
    <x v="0"/>
    <n v="44221"/>
    <x v="1"/>
    <x v="0"/>
    <x v="41"/>
    <x v="1"/>
    <x v="171"/>
    <s v="(HETBAHN) Cơm ăn liền 210G *3"/>
    <s v="Lốc"/>
    <n v="1764"/>
    <n v="1111.32"/>
    <d v="1899-12-30T15:07:12"/>
    <m/>
    <s v="Low sales"/>
    <n v="66051292.393700786"/>
    <x v="0"/>
    <n v="0"/>
    <n v="0"/>
    <x v="2"/>
    <x v="0"/>
  </r>
  <r>
    <x v="0"/>
    <x v="2"/>
    <n v="44264"/>
    <x v="3"/>
    <x v="0"/>
    <x v="12"/>
    <x v="1"/>
    <x v="30"/>
    <s v="Bibigo Kimchi cải thảo cắt lát 500gr"/>
    <s v="Hộp"/>
    <n v="4694"/>
    <n v="2347"/>
    <d v="1899-12-30T12:00:00"/>
    <n v="44246"/>
    <s v="Stock transferred from Foseca , quality issue (pH dropped)"/>
    <n v="101254274"/>
    <x v="0"/>
    <n v="4694"/>
    <n v="101254274"/>
    <x v="2"/>
    <x v="0"/>
  </r>
  <r>
    <x v="0"/>
    <x v="2"/>
    <n v="44264"/>
    <x v="0"/>
    <x v="0"/>
    <x v="0"/>
    <x v="1"/>
    <x v="38"/>
    <s v="Chả Giò Pastry chay 25gr/cái, 40 cái/1kg/gói , 5gói/5kg/thùng"/>
    <s v="Gói"/>
    <n v="846"/>
    <n v="846"/>
    <d v="1899-12-31T00:00:00"/>
    <n v="44540"/>
    <s v="Infected by Salmonella"/>
    <n v="53440958"/>
    <x v="0"/>
    <n v="846"/>
    <n v="53440958"/>
    <x v="2"/>
    <x v="0"/>
  </r>
  <r>
    <x v="0"/>
    <x v="2"/>
    <n v="44264"/>
    <x v="0"/>
    <x v="0"/>
    <x v="18"/>
    <x v="1"/>
    <x v="72"/>
    <s v="Bánh Mini Mandu Bí Đỏ CJ - KR,  gói 360gr, 16 gói/thùng  (AUS)"/>
    <s v="Gói"/>
    <n v="432"/>
    <n v="155.51999999999998"/>
    <d v="1899-12-30T08:38:24"/>
    <n v="44158"/>
    <s v="De-MKT"/>
    <n v="8120358.7043478256"/>
    <x v="0"/>
    <n v="429"/>
    <n v="8063967.3244565213"/>
    <x v="2"/>
    <x v="0"/>
  </r>
  <r>
    <x v="0"/>
    <x v="2"/>
    <n v="44264"/>
    <x v="3"/>
    <x v="0"/>
    <x v="12"/>
    <x v="1"/>
    <x v="18"/>
    <s v="Kim chi cải thảo cắt lát Ông Kim's 300g"/>
    <s v="Hộp"/>
    <n v="506"/>
    <n v="151.79999999999998"/>
    <d v="1899-12-30T07:12:00"/>
    <n v="44248"/>
    <s v="Low sales before Tet (actual sales only 23% vs forecast in 1st week of Feb : actual 0.9 tons vs FC 4tons)"/>
    <n v="6080672.5363999996"/>
    <x v="0"/>
    <n v="0"/>
    <n v="0"/>
    <x v="2"/>
    <x v="0"/>
  </r>
  <r>
    <x v="0"/>
    <x v="2"/>
    <n v="44264"/>
    <x v="5"/>
    <x v="0"/>
    <x v="16"/>
    <x v="1"/>
    <x v="39"/>
    <s v="Hương vị bò viên 200g 160 viên/kg"/>
    <s v="Kg"/>
    <n v="59"/>
    <n v="59"/>
    <d v="1899-12-31T00:00:00"/>
    <n v="44258"/>
    <s v="Low sales"/>
    <n v="2604932.0099999998"/>
    <x v="0"/>
    <n v="0"/>
    <n v="0"/>
    <x v="2"/>
    <x v="0"/>
  </r>
  <r>
    <x v="0"/>
    <x v="3"/>
    <n v="44295"/>
    <x v="4"/>
    <x v="0"/>
    <x v="14"/>
    <x v="2"/>
    <x v="6"/>
    <s v="Tương đậu truyền thống 3KG"/>
    <s v="Cái"/>
    <n v="16"/>
    <n v="48"/>
    <d v="1900-01-02T00:00:00"/>
    <n v="44292"/>
    <s v="Damaged"/>
    <n v="1752375"/>
    <x v="0"/>
    <n v="16"/>
    <n v="1752375"/>
    <x v="2"/>
    <x v="0"/>
  </r>
  <r>
    <x v="0"/>
    <x v="3"/>
    <n v="44295"/>
    <x v="1"/>
    <x v="0"/>
    <x v="1"/>
    <x v="2"/>
    <x v="171"/>
    <s v="(HETBAHN) Cơm ăn liền 210G *3"/>
    <s v="Hộp"/>
    <n v="7"/>
    <n v="4.41"/>
    <d v="1899-12-30T15:07:12"/>
    <n v="44222"/>
    <s v="Damaged"/>
    <n v="263535.10190000001"/>
    <x v="0"/>
    <n v="7"/>
    <n v="263535.10190000001"/>
    <x v="2"/>
    <x v="0"/>
  </r>
  <r>
    <x v="0"/>
    <x v="3"/>
    <n v="44295"/>
    <x v="6"/>
    <x v="0"/>
    <x v="8"/>
    <x v="2"/>
    <x v="256"/>
    <s v="Rong biển ăn liền Bibigo vị truyền thống 5gr x 3"/>
    <s v="Lốc"/>
    <n v="35"/>
    <n v="0.52500000000000002"/>
    <d v="1899-12-30T00:21:36"/>
    <n v="44340"/>
    <s v="Damaged"/>
    <n v="349473.49849999999"/>
    <x v="0"/>
    <n v="35"/>
    <n v="349473.49849999999"/>
    <x v="2"/>
    <x v="0"/>
  </r>
  <r>
    <x v="0"/>
    <x v="3"/>
    <n v="44295"/>
    <x v="6"/>
    <x v="0"/>
    <x v="8"/>
    <x v="2"/>
    <x v="257"/>
    <s v="Rong biển ăn liền Bibigo vị BBQ 5gr x 3"/>
    <s v="Lốc"/>
    <n v="17"/>
    <n v="0.255"/>
    <d v="1899-12-30T00:21:36"/>
    <n v="44340"/>
    <s v="Damaged"/>
    <n v="180287.1998"/>
    <x v="0"/>
    <n v="17"/>
    <n v="180287.1998"/>
    <x v="2"/>
    <x v="0"/>
  </r>
  <r>
    <x v="0"/>
    <x v="3"/>
    <n v="44295"/>
    <x v="7"/>
    <x v="0"/>
    <x v="44"/>
    <x v="2"/>
    <x v="258"/>
    <s v="Bột mì 1KG"/>
    <s v="Gói"/>
    <n v="1"/>
    <n v="1"/>
    <d v="1899-12-31T00:00:00"/>
    <n v="44251"/>
    <s v="Damaged"/>
    <n v="19332.159800000001"/>
    <x v="0"/>
    <n v="1"/>
    <n v="19332.159800000001"/>
    <x v="2"/>
    <x v="0"/>
  </r>
  <r>
    <x v="0"/>
    <x v="3"/>
    <n v="44295"/>
    <x v="7"/>
    <x v="0"/>
    <x v="44"/>
    <x v="2"/>
    <x v="258"/>
    <s v="Bột mì 1KG"/>
    <s v="Gói"/>
    <n v="21"/>
    <n v="21"/>
    <d v="1899-12-31T00:00:00"/>
    <n v="44488"/>
    <s v="Damaged"/>
    <n v="405975.35580000002"/>
    <x v="0"/>
    <n v="21"/>
    <n v="405975.35580000002"/>
    <x v="2"/>
    <x v="0"/>
  </r>
  <r>
    <x v="0"/>
    <x v="3"/>
    <n v="44295"/>
    <x v="7"/>
    <x v="0"/>
    <x v="44"/>
    <x v="2"/>
    <x v="258"/>
    <s v="Bột mì 1KG"/>
    <s v="Gói"/>
    <n v="1"/>
    <n v="1"/>
    <d v="1899-12-31T00:00:00"/>
    <n v="44546"/>
    <s v="Damaged, Return from Distributor"/>
    <n v="19332.159800000001"/>
    <x v="0"/>
    <n v="1"/>
    <n v="19332.159800000001"/>
    <x v="2"/>
    <x v="0"/>
  </r>
  <r>
    <x v="0"/>
    <x v="3"/>
    <n v="44295"/>
    <x v="4"/>
    <x v="0"/>
    <x v="14"/>
    <x v="2"/>
    <x v="259"/>
    <s v="(HAECHANDLE) Tương ớt cay 1KG"/>
    <s v="Hộp"/>
    <n v="63"/>
    <n v="63"/>
    <d v="1899-12-31T00:00:00"/>
    <n v="44640"/>
    <s v="Damaged, Return from Distributor"/>
    <n v="3873290.1354"/>
    <x v="0"/>
    <n v="63"/>
    <n v="3873290.1354"/>
    <x v="2"/>
    <x v="0"/>
  </r>
  <r>
    <x v="0"/>
    <x v="3"/>
    <n v="44295"/>
    <x v="7"/>
    <x v="0"/>
    <x v="45"/>
    <x v="2"/>
    <x v="260"/>
    <s v="Dầu mè đậm đặc 110ml"/>
    <s v="Cái"/>
    <n v="15"/>
    <n v="1.65"/>
    <d v="1899-12-30T02:38:24"/>
    <n v="44848"/>
    <s v="Damaged"/>
    <n v="345433.60200000001"/>
    <x v="0"/>
    <n v="15"/>
    <n v="345433.60200000001"/>
    <x v="2"/>
    <x v="0"/>
  </r>
  <r>
    <x v="0"/>
    <x v="3"/>
    <n v="44295"/>
    <x v="4"/>
    <x v="0"/>
    <x v="14"/>
    <x v="2"/>
    <x v="261"/>
    <s v="(HAECHANDLE) Tương đậu truyền thống 14KG"/>
    <s v="Thùng"/>
    <n v="4"/>
    <n v="56"/>
    <d v="1900-01-13T00:00:00"/>
    <n v="43967"/>
    <s v="Damaged"/>
    <n v="1952715.0112000001"/>
    <x v="0"/>
    <n v="4"/>
    <n v="1952715.0112000001"/>
    <x v="2"/>
    <x v="0"/>
  </r>
  <r>
    <x v="0"/>
    <x v="3"/>
    <n v="44295"/>
    <x v="4"/>
    <x v="0"/>
    <x v="14"/>
    <x v="2"/>
    <x v="261"/>
    <s v="(HAECHANDLE) Tương đậu truyền thống 14KG"/>
    <s v="Thùng"/>
    <n v="1"/>
    <n v="14"/>
    <d v="1900-01-13T00:00:00"/>
    <n v="43969"/>
    <s v="Damaged"/>
    <n v="488178.75280000002"/>
    <x v="0"/>
    <n v="1"/>
    <n v="488178.75280000002"/>
    <x v="2"/>
    <x v="0"/>
  </r>
  <r>
    <x v="0"/>
    <x v="3"/>
    <n v="44295"/>
    <x v="4"/>
    <x v="0"/>
    <x v="9"/>
    <x v="2"/>
    <x v="13"/>
    <s v="(DASIDA )Hạt nêm vị bò (E) 1KG"/>
    <s v="Gói"/>
    <n v="2"/>
    <n v="2"/>
    <d v="1899-12-31T00:00:00"/>
    <n v="44690"/>
    <s v="Damaged"/>
    <n v="162315.37059999999"/>
    <x v="0"/>
    <n v="2"/>
    <n v="162315.37059999999"/>
    <x v="2"/>
    <x v="0"/>
  </r>
  <r>
    <x v="0"/>
    <x v="3"/>
    <n v="44295"/>
    <x v="7"/>
    <x v="0"/>
    <x v="44"/>
    <x v="2"/>
    <x v="158"/>
    <s v="Bột mì loại 1 - 20KG"/>
    <s v="Bao"/>
    <n v="8"/>
    <n v="160"/>
    <d v="1900-01-19T00:00:00"/>
    <n v="44489"/>
    <s v="Damaged"/>
    <n v="3315374.6192000001"/>
    <x v="0"/>
    <n v="8"/>
    <n v="3315374.6192000001"/>
    <x v="2"/>
    <x v="0"/>
  </r>
  <r>
    <x v="0"/>
    <x v="3"/>
    <n v="44295"/>
    <x v="7"/>
    <x v="0"/>
    <x v="44"/>
    <x v="2"/>
    <x v="158"/>
    <s v="Bột mì loại 1 - 20KG"/>
    <s v="Bao"/>
    <n v="2"/>
    <n v="40"/>
    <d v="1900-01-19T00:00:00"/>
    <n v="44490"/>
    <s v="Damaged"/>
    <n v="828843.65480000002"/>
    <x v="0"/>
    <n v="2"/>
    <n v="828843.65480000002"/>
    <x v="2"/>
    <x v="0"/>
  </r>
  <r>
    <x v="0"/>
    <x v="3"/>
    <n v="44295"/>
    <x v="7"/>
    <x v="0"/>
    <x v="44"/>
    <x v="2"/>
    <x v="158"/>
    <s v="Bột mì loại 1 - 20KG"/>
    <s v="Bao"/>
    <n v="1"/>
    <n v="20"/>
    <d v="1900-01-19T00:00:00"/>
    <n v="44581"/>
    <s v="Damaged"/>
    <n v="414421.82740000001"/>
    <x v="0"/>
    <n v="1"/>
    <n v="414421.82740000001"/>
    <x v="2"/>
    <x v="0"/>
  </r>
  <r>
    <x v="0"/>
    <x v="3"/>
    <n v="44295"/>
    <x v="7"/>
    <x v="0"/>
    <x v="13"/>
    <x v="2"/>
    <x v="82"/>
    <s v="Bột Chiên Giòn 150G"/>
    <s v="Cái"/>
    <n v="1"/>
    <n v="0.15"/>
    <d v="1899-12-30T03:36:00"/>
    <n v="44251"/>
    <s v="Damaged, Return from Distributor"/>
    <n v="4509.3227000000006"/>
    <x v="0"/>
    <n v="1"/>
    <n v="4509.3227000000006"/>
    <x v="2"/>
    <x v="0"/>
  </r>
  <r>
    <x v="0"/>
    <x v="3"/>
    <n v="44295"/>
    <x v="7"/>
    <x v="0"/>
    <x v="13"/>
    <x v="2"/>
    <x v="262"/>
    <s v="Bột Chiên Giòn - Gói 1Kg ( XE ĐẠP)"/>
    <s v="Cái"/>
    <n v="1"/>
    <n v="1"/>
    <d v="1899-12-31T00:00:00"/>
    <n v="44597"/>
    <s v="Damaged"/>
    <n v="23070.661700000001"/>
    <x v="0"/>
    <n v="1"/>
    <n v="23070.661700000001"/>
    <x v="2"/>
    <x v="0"/>
  </r>
  <r>
    <x v="0"/>
    <x v="3"/>
    <n v="44295"/>
    <x v="1"/>
    <x v="0"/>
    <x v="24"/>
    <x v="2"/>
    <x v="80"/>
    <s v="Cầu Tre Im Cháo Gourmet / Cháo Tươi Bò Úc Hầm Rau Củ - túi 250g"/>
    <s v="Cái"/>
    <n v="26"/>
    <n v="6.5"/>
    <d v="1899-12-30T06:00:00"/>
    <n v="44484"/>
    <s v="Damaged, Return from Distributor"/>
    <n v="395018"/>
    <x v="0"/>
    <n v="26"/>
    <n v="395018"/>
    <x v="2"/>
    <x v="0"/>
  </r>
  <r>
    <x v="0"/>
    <x v="3"/>
    <n v="44295"/>
    <x v="6"/>
    <x v="0"/>
    <x v="8"/>
    <x v="2"/>
    <x v="59"/>
    <s v="Snack Rong biển Bibigo vị truyền thống 25gr"/>
    <s v="Gói"/>
    <n v="230"/>
    <n v="5.75"/>
    <d v="1899-12-30T00:36:00"/>
    <n v="44251"/>
    <s v="Damaged"/>
    <n v="2435740.8249999997"/>
    <x v="0"/>
    <n v="230"/>
    <n v="2435740.8249999997"/>
    <x v="2"/>
    <x v="0"/>
  </r>
  <r>
    <x v="0"/>
    <x v="3"/>
    <n v="44295"/>
    <x v="6"/>
    <x v="0"/>
    <x v="8"/>
    <x v="2"/>
    <x v="59"/>
    <s v="Snack Rong biển Bibigo vị truyền thống 25gr"/>
    <s v="Gói"/>
    <n v="49"/>
    <n v="1.2250000000000001"/>
    <d v="1899-12-30T00:36:00"/>
    <n v="44317"/>
    <s v="Damaged, Return from Distributor"/>
    <n v="518918.69750000001"/>
    <x v="0"/>
    <n v="49"/>
    <n v="518918.69750000001"/>
    <x v="2"/>
    <x v="0"/>
  </r>
  <r>
    <x v="0"/>
    <x v="3"/>
    <n v="44295"/>
    <x v="0"/>
    <x v="0"/>
    <x v="18"/>
    <x v="2"/>
    <x v="62"/>
    <s v="Bánh Mandu Thịt CJ Bibigo - gói 1.505kg- Thùng 9,03 kg"/>
    <s v="Gói"/>
    <n v="61"/>
    <n v="91.805000000000007"/>
    <d v="1899-12-31T12:07:12"/>
    <n v="44565"/>
    <s v="Damaged"/>
    <n v="6681077.4721999997"/>
    <x v="0"/>
    <n v="61"/>
    <n v="6681077.4721999997"/>
    <x v="2"/>
    <x v="0"/>
  </r>
  <r>
    <x v="0"/>
    <x v="3"/>
    <n v="44295"/>
    <x v="5"/>
    <x v="0"/>
    <x v="16"/>
    <x v="2"/>
    <x v="263"/>
    <s v="Cá viên rau củ Cầu Tre 500g"/>
    <s v="Túi"/>
    <n v="5"/>
    <n v="2.5"/>
    <d v="1899-12-30T12:00:00"/>
    <n v="44533"/>
    <s v="Damaged"/>
    <n v="116356.66650000001"/>
    <x v="0"/>
    <n v="5"/>
    <n v="116356.66650000001"/>
    <x v="2"/>
    <x v="0"/>
  </r>
  <r>
    <x v="0"/>
    <x v="3"/>
    <n v="44295"/>
    <x v="5"/>
    <x v="0"/>
    <x v="3"/>
    <x v="2"/>
    <x v="27"/>
    <s v="Bò viên ngon Cầu Tre 500gr"/>
    <s v="Gói"/>
    <n v="48"/>
    <n v="24"/>
    <d v="1899-12-30T12:00:00"/>
    <n v="44617"/>
    <s v="Damaged"/>
    <n v="2047451.1936000001"/>
    <x v="0"/>
    <n v="48"/>
    <n v="2047451.1936000001"/>
    <x v="2"/>
    <x v="0"/>
  </r>
  <r>
    <x v="0"/>
    <x v="3"/>
    <n v="44295"/>
    <x v="0"/>
    <x v="0"/>
    <x v="0"/>
    <x v="2"/>
    <x v="264"/>
    <s v="Chả Giò Rế Hải Sản - Gói 500G"/>
    <s v="GOI"/>
    <n v="2"/>
    <n v="1"/>
    <d v="1899-12-30T12:00:00"/>
    <n v="44630"/>
    <s v="Damaged"/>
    <n v="64502.738799999999"/>
    <x v="0"/>
    <n v="2"/>
    <n v="64502.738799999999"/>
    <x v="2"/>
    <x v="0"/>
  </r>
  <r>
    <x v="0"/>
    <x v="3"/>
    <n v="44295"/>
    <x v="0"/>
    <x v="0"/>
    <x v="3"/>
    <x v="2"/>
    <x v="265"/>
    <s v="Há Cảo - Gói 500G"/>
    <s v="GOI"/>
    <n v="1"/>
    <n v="0.5"/>
    <d v="1899-12-30T12:00:00"/>
    <n v="44614"/>
    <s v="Damaged"/>
    <n v="28116.449000000001"/>
    <x v="0"/>
    <n v="1"/>
    <n v="28116.449000000001"/>
    <x v="2"/>
    <x v="0"/>
  </r>
  <r>
    <x v="0"/>
    <x v="3"/>
    <n v="44295"/>
    <x v="0"/>
    <x v="0"/>
    <x v="0"/>
    <x v="2"/>
    <x v="135"/>
    <s v="Chả Giò Đặc Biệt Thịt - Gói 500G"/>
    <s v="GOI"/>
    <n v="1"/>
    <n v="0.5"/>
    <d v="1899-12-30T12:00:00"/>
    <n v="44256"/>
    <s v="Damaged, Return from Distributor"/>
    <n v="32928.0942"/>
    <x v="0"/>
    <n v="1"/>
    <n v="32928.0942"/>
    <x v="2"/>
    <x v="0"/>
  </r>
  <r>
    <x v="0"/>
    <x v="3"/>
    <n v="44295"/>
    <x v="0"/>
    <x v="0"/>
    <x v="0"/>
    <x v="2"/>
    <x v="136"/>
    <s v="Chả Giò Rế Chay Đặc Biệt - Gói 500G"/>
    <s v="GOI"/>
    <n v="1"/>
    <n v="0.5"/>
    <d v="1899-12-30T12:00:00"/>
    <n v="44290"/>
    <s v="Damaged, Return from Distributor"/>
    <n v="27522.348999999998"/>
    <x v="0"/>
    <n v="1"/>
    <n v="27522.348999999998"/>
    <x v="2"/>
    <x v="0"/>
  </r>
  <r>
    <x v="0"/>
    <x v="3"/>
    <n v="44295"/>
    <x v="0"/>
    <x v="0"/>
    <x v="3"/>
    <x v="2"/>
    <x v="125"/>
    <s v="Há Cảo CTE Mini - Gói 500g"/>
    <s v="GOI"/>
    <n v="1"/>
    <n v="0.5"/>
    <d v="1899-12-30T12:00:00"/>
    <n v="44277"/>
    <s v="Damaged, Return from Distributor"/>
    <n v="37035.762199999997"/>
    <x v="0"/>
    <n v="1"/>
    <n v="37035.762199999997"/>
    <x v="2"/>
    <x v="0"/>
  </r>
  <r>
    <x v="0"/>
    <x v="3"/>
    <n v="44295"/>
    <x v="5"/>
    <x v="0"/>
    <x v="3"/>
    <x v="2"/>
    <x v="46"/>
    <s v="Cá viên ngon Cầu Tre  500gr"/>
    <s v="Gói"/>
    <n v="84"/>
    <n v="42"/>
    <d v="1899-12-30T12:00:00"/>
    <n v="44273"/>
    <s v="Damaged, Return from Distributor"/>
    <n v="1876288.9068"/>
    <x v="0"/>
    <n v="84"/>
    <n v="1876288.9068"/>
    <x v="2"/>
    <x v="0"/>
  </r>
  <r>
    <x v="0"/>
    <x v="3"/>
    <n v="44295"/>
    <x v="0"/>
    <x v="0"/>
    <x v="18"/>
    <x v="2"/>
    <x v="129"/>
    <s v="Bánh Mandu Hải Sản CJ Bibigo – Gói 175g"/>
    <s v="GOI"/>
    <n v="2"/>
    <n v="0.35"/>
    <d v="1899-12-30T04:12:00"/>
    <n v="44230"/>
    <s v="Damaged, Return from Distributor"/>
    <n v="30340.1636"/>
    <x v="0"/>
    <n v="2"/>
    <n v="30340.1636"/>
    <x v="2"/>
    <x v="0"/>
  </r>
  <r>
    <x v="0"/>
    <x v="3"/>
    <n v="44295"/>
    <x v="0"/>
    <x v="0"/>
    <x v="18"/>
    <x v="2"/>
    <x v="168"/>
    <s v="Bánh Mandu Thịt CJ Bibigo – Gói 175g"/>
    <s v="GOI"/>
    <n v="1"/>
    <n v="0.17499999999999999"/>
    <d v="1899-12-30T04:12:00"/>
    <n v="44221"/>
    <s v="Damaged, Return from Distributor"/>
    <n v="13466.628699999999"/>
    <x v="0"/>
    <n v="1"/>
    <n v="13466.628699999999"/>
    <x v="2"/>
    <x v="0"/>
  </r>
  <r>
    <x v="0"/>
    <x v="3"/>
    <n v="44295"/>
    <x v="5"/>
    <x v="0"/>
    <x v="11"/>
    <x v="2"/>
    <x v="266"/>
    <s v="Chả Lụa Quết Thượng Hạng 500G (đông)"/>
    <s v="Gói"/>
    <n v="1"/>
    <n v="0.5"/>
    <d v="1899-12-30T12:00:00"/>
    <n v="44253"/>
    <s v="Damaged, Return from Distributor"/>
    <n v="71311.941000000006"/>
    <x v="0"/>
    <n v="1"/>
    <n v="71311.941000000006"/>
    <x v="2"/>
    <x v="0"/>
  </r>
  <r>
    <x v="0"/>
    <x v="3"/>
    <n v="44295"/>
    <x v="5"/>
    <x v="0"/>
    <x v="11"/>
    <x v="2"/>
    <x v="43"/>
    <s v="Chả Cá Quết - Chả Cá Kiểu Nha Trang 280G (mát)"/>
    <s v="Gói"/>
    <n v="19"/>
    <n v="5.32"/>
    <d v="1899-12-30T06:43:12"/>
    <n v="44256"/>
    <s v="Expired in the past, unable to define"/>
    <n v="496723.64049999998"/>
    <x v="0"/>
    <n v="19"/>
    <n v="496723.64049999998"/>
    <x v="2"/>
    <x v="0"/>
  </r>
  <r>
    <x v="0"/>
    <x v="3"/>
    <n v="44295"/>
    <x v="3"/>
    <x v="0"/>
    <x v="12"/>
    <x v="2"/>
    <x v="53"/>
    <s v="Kim chi cải thảo cắt lát Ông Kim's 5kg (B2B) - GGG"/>
    <s v="Túi"/>
    <n v="23"/>
    <n v="115"/>
    <d v="1900-01-04T00:00:00"/>
    <n v="44290"/>
    <s v="Damaged"/>
    <n v="4328065.9078000002"/>
    <x v="0"/>
    <n v="23"/>
    <n v="4328065.9078000002"/>
    <x v="2"/>
    <x v="0"/>
  </r>
  <r>
    <x v="0"/>
    <x v="3"/>
    <n v="44295"/>
    <x v="3"/>
    <x v="0"/>
    <x v="12"/>
    <x v="2"/>
    <x v="5"/>
    <s v="Bibigo Kimchi cải thảo cây 1kg"/>
    <s v="Túi"/>
    <n v="30"/>
    <n v="30"/>
    <d v="1899-12-31T00:00:00"/>
    <n v="44277"/>
    <s v="Damaged"/>
    <n v="1520721.3629999999"/>
    <x v="0"/>
    <n v="30"/>
    <n v="1520721.3629999999"/>
    <x v="2"/>
    <x v="0"/>
  </r>
  <r>
    <x v="0"/>
    <x v="3"/>
    <n v="44295"/>
    <x v="3"/>
    <x v="0"/>
    <x v="12"/>
    <x v="2"/>
    <x v="5"/>
    <s v="Bibigo Kimchi cải thảo cây 1kg"/>
    <s v="Túi"/>
    <n v="10"/>
    <n v="10"/>
    <d v="1899-12-31T00:00:00"/>
    <n v="44273"/>
    <s v="Damaged"/>
    <n v="506907.12099999998"/>
    <x v="0"/>
    <n v="10"/>
    <n v="506907.12099999998"/>
    <x v="2"/>
    <x v="0"/>
  </r>
  <r>
    <x v="0"/>
    <x v="3"/>
    <n v="44295"/>
    <x v="5"/>
    <x v="0"/>
    <x v="11"/>
    <x v="2"/>
    <x v="15"/>
    <s v="Chả cá quết - Chả cá dây kiểu Vũng Tàu 230gr"/>
    <s v="Gói"/>
    <n v="100"/>
    <n v="23"/>
    <d v="1899-12-30T05:31:12"/>
    <n v="44230"/>
    <s v="MKT change AW, customer require reprint barcode"/>
    <n v="1647700"/>
    <x v="0"/>
    <n v="100"/>
    <n v="1647700"/>
    <x v="2"/>
    <x v="0"/>
  </r>
  <r>
    <x v="0"/>
    <x v="3"/>
    <n v="44295"/>
    <x v="5"/>
    <x v="0"/>
    <x v="11"/>
    <x v="2"/>
    <x v="76"/>
    <s v="Chả Lụa 3 khỏe 500g"/>
    <s v="Cây"/>
    <n v="9"/>
    <n v="4.5"/>
    <d v="1899-12-30T12:00:00"/>
    <n v="44221"/>
    <s v="Expired in the past, unable to define"/>
    <n v="388478.25809999998"/>
    <x v="0"/>
    <n v="9"/>
    <n v="388478.25809999998"/>
    <x v="2"/>
    <x v="0"/>
  </r>
  <r>
    <x v="0"/>
    <x v="3"/>
    <n v="44295"/>
    <x v="5"/>
    <x v="0"/>
    <x v="11"/>
    <x v="2"/>
    <x v="32"/>
    <s v="Chả Lụa Quết Mini 200g"/>
    <s v="Cây"/>
    <n v="230"/>
    <n v="46"/>
    <d v="1899-12-30T04:48:00"/>
    <n v="44253"/>
    <s v="Break FIFO"/>
    <n v="4018237.5860000001"/>
    <x v="0"/>
    <n v="230"/>
    <n v="4018237.5860000001"/>
    <x v="2"/>
    <x v="0"/>
  </r>
  <r>
    <x v="0"/>
    <x v="3"/>
    <n v="44295"/>
    <x v="5"/>
    <x v="0"/>
    <x v="11"/>
    <x v="2"/>
    <x v="32"/>
    <s v="Chả Lụa Quết Mini 200g"/>
    <s v="Cây"/>
    <n v="131"/>
    <n v="26.200000000000003"/>
    <d v="1899-12-30T04:48:00"/>
    <n v="44255"/>
    <s v="Break FIFO"/>
    <n v="2288648.3642000002"/>
    <x v="0"/>
    <n v="131"/>
    <n v="2288648.3642000002"/>
    <x v="2"/>
    <x v="0"/>
  </r>
  <r>
    <x v="0"/>
    <x v="3"/>
    <n v="44295"/>
    <x v="5"/>
    <x v="0"/>
    <x v="24"/>
    <x v="2"/>
    <x v="33"/>
    <s v="Chả lụa quết nhất phẩm – 200G"/>
    <s v="Gói"/>
    <n v="315"/>
    <n v="63"/>
    <d v="1899-12-30T04:48:00"/>
    <n v="44261"/>
    <s v="Break FIFO--BMT confirmed"/>
    <n v="7553147.1435000002"/>
    <x v="0"/>
    <n v="315"/>
    <n v="7553147.1435000002"/>
    <x v="2"/>
    <x v="0"/>
  </r>
  <r>
    <x v="0"/>
    <x v="3"/>
    <n v="44295"/>
    <x v="5"/>
    <x v="0"/>
    <x v="11"/>
    <x v="2"/>
    <x v="26"/>
    <s v="Chả cá viên 500g"/>
    <s v="Túi"/>
    <n v="213"/>
    <n v="106.5"/>
    <d v="1899-12-30T12:00:00"/>
    <n v="44253"/>
    <s v="Break FIFO"/>
    <n v="7562121.0653999997"/>
    <x v="0"/>
    <n v="213"/>
    <n v="7562121.0653999988"/>
    <x v="2"/>
    <x v="0"/>
  </r>
  <r>
    <x v="0"/>
    <x v="3"/>
    <n v="44295"/>
    <x v="5"/>
    <x v="0"/>
    <x v="11"/>
    <x v="2"/>
    <x v="267"/>
    <s v="Chả Lụa Quết Thượng Hạng 250g (mát)"/>
    <s v="Gói"/>
    <n v="102"/>
    <n v="25.5"/>
    <d v="1899-12-30T06:00:00"/>
    <n v="44286"/>
    <s v="low sales, under forecast"/>
    <n v="3920386.8810000001"/>
    <x v="0"/>
    <n v="102"/>
    <n v="3920386.8810000001"/>
    <x v="2"/>
    <x v="0"/>
  </r>
  <r>
    <x v="0"/>
    <x v="3"/>
    <n v="44295"/>
    <x v="5"/>
    <x v="0"/>
    <x v="11"/>
    <x v="2"/>
    <x v="9"/>
    <s v="Chả Lụa Quết Thượng Hạng 500g (mát)"/>
    <s v="Gói"/>
    <n v="23"/>
    <n v="11.5"/>
    <d v="1899-12-30T12:00:00"/>
    <n v="44252"/>
    <s v="Break FIFO"/>
    <n v="1543899.2971999999"/>
    <x v="0"/>
    <n v="23"/>
    <n v="1543899.2971999999"/>
    <x v="2"/>
    <x v="0"/>
  </r>
  <r>
    <x v="0"/>
    <x v="3"/>
    <n v="44295"/>
    <x v="5"/>
    <x v="0"/>
    <x v="11"/>
    <x v="2"/>
    <x v="9"/>
    <s v="Chả Lụa Quết Thượng Hạng 500g (mát)"/>
    <s v="Gói"/>
    <n v="67"/>
    <n v="33.5"/>
    <d v="1899-12-30T12:00:00"/>
    <n v="44263"/>
    <s v="Break FIFO"/>
    <n v="4497445.7788000004"/>
    <x v="0"/>
    <n v="67"/>
    <n v="4497445.7788000004"/>
    <x v="2"/>
    <x v="0"/>
  </r>
  <r>
    <x v="0"/>
    <x v="3"/>
    <n v="44295"/>
    <x v="3"/>
    <x v="0"/>
    <x v="12"/>
    <x v="2"/>
    <x v="18"/>
    <s v="Kim chi cải thảo cắt lát Ông Kim's 300g"/>
    <s v="Hộp"/>
    <n v="1319"/>
    <n v="395.7"/>
    <d v="1899-12-30T07:12:00"/>
    <n v="44247"/>
    <s v="Break FEFO--BMT confirmed"/>
    <n v="28239963.184700001"/>
    <x v="0"/>
    <n v="1319"/>
    <n v="28239963.184700001"/>
    <x v="2"/>
    <x v="0"/>
  </r>
  <r>
    <x v="0"/>
    <x v="3"/>
    <n v="44295"/>
    <x v="3"/>
    <x v="0"/>
    <x v="12"/>
    <x v="2"/>
    <x v="41"/>
    <s v="Bibigo Kimchi cải thảo chay 500gr"/>
    <s v="Hộp"/>
    <n v="6"/>
    <n v="3"/>
    <d v="1899-12-30T12:00:00"/>
    <n v="44269"/>
    <s v="Damaged, Return from Distributor"/>
    <n v="140798.5404"/>
    <x v="0"/>
    <n v="6"/>
    <n v="140798.5404"/>
    <x v="2"/>
    <x v="0"/>
  </r>
  <r>
    <x v="0"/>
    <x v="3"/>
    <n v="44295"/>
    <x v="3"/>
    <x v="0"/>
    <x v="12"/>
    <x v="2"/>
    <x v="68"/>
    <s v="Bibigo Kimchi cải thảo - ngò 500gr"/>
    <s v="Hộp"/>
    <n v="14"/>
    <n v="7"/>
    <d v="1899-12-30T12:00:00"/>
    <n v="44272"/>
    <s v="Damaged, Return from Distributor"/>
    <n v="432798.77340000001"/>
    <x v="0"/>
    <n v="14"/>
    <n v="432798.77340000001"/>
    <x v="2"/>
    <x v="0"/>
  </r>
  <r>
    <x v="0"/>
    <x v="3"/>
    <n v="44295"/>
    <x v="5"/>
    <x v="0"/>
    <x v="11"/>
    <x v="2"/>
    <x v="79"/>
    <s v="Chả Bò Quết Nhất Phẩm 200g"/>
    <s v="Gói"/>
    <n v="15"/>
    <n v="3"/>
    <d v="1899-12-30T04:48:00"/>
    <n v="44264"/>
    <s v="Make to order, low sales"/>
    <n v="451725"/>
    <x v="0"/>
    <n v="15"/>
    <n v="451725"/>
    <x v="2"/>
    <x v="0"/>
  </r>
  <r>
    <x v="0"/>
    <x v="3"/>
    <n v="44295"/>
    <x v="3"/>
    <x v="0"/>
    <x v="12"/>
    <x v="2"/>
    <x v="55"/>
    <s v="Bibigo Kimchi cải thảo cây 5kg"/>
    <s v="Bịch"/>
    <n v="1"/>
    <n v="5"/>
    <d v="1900-01-04T00:00:00"/>
    <n v="44275"/>
    <s v="Damaged"/>
    <n v="72946.132500000007"/>
    <x v="0"/>
    <n v="1"/>
    <n v="72946.132500000007"/>
    <x v="2"/>
    <x v="0"/>
  </r>
  <r>
    <x v="0"/>
    <x v="3"/>
    <n v="44295"/>
    <x v="3"/>
    <x v="0"/>
    <x v="12"/>
    <x v="2"/>
    <x v="18"/>
    <s v="Kim chi cải thảo cắt lát Ông Kim's 300g"/>
    <s v="Hộp"/>
    <n v="623"/>
    <n v="186.9"/>
    <d v="1899-12-30T07:12:00"/>
    <n v="44276"/>
    <s v="Low sell, proposed send to canteen but cannot consume all"/>
    <n v="13338511.799900001"/>
    <x v="0"/>
    <n v="623"/>
    <n v="13338511.799900001"/>
    <x v="2"/>
    <x v="0"/>
  </r>
  <r>
    <x v="0"/>
    <x v="3"/>
    <n v="44295"/>
    <x v="3"/>
    <x v="0"/>
    <x v="12"/>
    <x v="2"/>
    <x v="42"/>
    <s v="Dưa cải Bibigo 200G"/>
    <s v="Gói"/>
    <n v="331"/>
    <n v="66.2"/>
    <d v="1899-12-30T04:48:00"/>
    <n v="44275"/>
    <s v="Low sell, proposed send to canteen but cannot consume all"/>
    <n v="1970359.2239000001"/>
    <x v="0"/>
    <n v="331"/>
    <n v="1970359.2239000001"/>
    <x v="2"/>
    <x v="0"/>
  </r>
  <r>
    <x v="0"/>
    <x v="3"/>
    <n v="44295"/>
    <x v="3"/>
    <x v="0"/>
    <x v="12"/>
    <x v="2"/>
    <x v="42"/>
    <s v="Dưa cải Bibigo 200G"/>
    <s v="Gói"/>
    <n v="1173"/>
    <n v="234.6"/>
    <d v="1899-12-30T04:48:00"/>
    <n v="44279"/>
    <s v="Low sell, proposed send to canteen but cannot consume all"/>
    <n v="6982572.1137000006"/>
    <x v="0"/>
    <n v="1173"/>
    <n v="6982572.1137000006"/>
    <x v="2"/>
    <x v="0"/>
  </r>
  <r>
    <x v="0"/>
    <x v="3"/>
    <n v="44295"/>
    <x v="3"/>
    <x v="0"/>
    <x v="21"/>
    <x v="2"/>
    <x v="65"/>
    <s v="Đậu hũ chiên Ông Kim's 350gr"/>
    <s v="Hộp"/>
    <n v="858"/>
    <n v="300.29999999999995"/>
    <d v="1899-12-30T08:24:00"/>
    <n v="44277"/>
    <s v="Low sell, proposed send to canteen but cannot consume all"/>
    <n v="12977254.4616"/>
    <x v="0"/>
    <n v="858"/>
    <n v="12977254.4616"/>
    <x v="2"/>
    <x v="0"/>
  </r>
  <r>
    <x v="0"/>
    <x v="3"/>
    <n v="44295"/>
    <x v="3"/>
    <x v="0"/>
    <x v="21"/>
    <x v="2"/>
    <x v="65"/>
    <s v="Đậu hũ chiên Ông Kim's 350gr"/>
    <s v="Hộp"/>
    <n v="87"/>
    <n v="30.45"/>
    <d v="1899-12-30T08:24:00"/>
    <n v="44278"/>
    <s v="Low sell, proposed send to canteen but cannot consume all"/>
    <n v="1315875.4524000001"/>
    <x v="0"/>
    <n v="76"/>
    <n v="1149500.3951999999"/>
    <x v="2"/>
    <x v="0"/>
  </r>
  <r>
    <x v="0"/>
    <x v="3"/>
    <n v="44295"/>
    <x v="5"/>
    <x v="0"/>
    <x v="24"/>
    <x v="2"/>
    <x v="33"/>
    <s v="Chả lụa quết nhất phẩm – 200G"/>
    <s v="Gói"/>
    <n v="4"/>
    <n v="0.8"/>
    <d v="1899-12-30T04:48:00"/>
    <n v="44279"/>
    <s v="Damaged"/>
    <n v="95912.979600000006"/>
    <x v="0"/>
    <n v="4"/>
    <n v="95912.979600000006"/>
    <x v="2"/>
    <x v="0"/>
  </r>
  <r>
    <x v="0"/>
    <x v="3"/>
    <n v="44295"/>
    <x v="3"/>
    <x v="0"/>
    <x v="21"/>
    <x v="2"/>
    <x v="65"/>
    <s v="Đậu hũ chiên Ông Kim's 350gr"/>
    <s v="Hộp"/>
    <n v="34"/>
    <n v="11.9"/>
    <d v="1899-12-30T08:24:00"/>
    <n v="44283"/>
    <s v="Damaged"/>
    <n v="514250.17680000002"/>
    <x v="0"/>
    <n v="0"/>
    <n v="0"/>
    <x v="2"/>
    <x v="0"/>
  </r>
  <r>
    <x v="0"/>
    <x v="3"/>
    <n v="44295"/>
    <x v="3"/>
    <x v="0"/>
    <x v="12"/>
    <x v="2"/>
    <x v="5"/>
    <s v="Bibigo Kimchi cải thảo cây 1kg"/>
    <s v="Túi"/>
    <n v="20"/>
    <n v="20"/>
    <d v="1899-12-31T00:00:00"/>
    <n v="44285"/>
    <s v="Damaged"/>
    <n v="1013814.242"/>
    <x v="0"/>
    <n v="20"/>
    <n v="1013814.242"/>
    <x v="2"/>
    <x v="0"/>
  </r>
  <r>
    <x v="0"/>
    <x v="3"/>
    <n v="44295"/>
    <x v="3"/>
    <x v="0"/>
    <x v="12"/>
    <x v="2"/>
    <x v="30"/>
    <s v="Bibigo Kimchi cải thảo cắt lát 500gr"/>
    <s v="Hộp"/>
    <n v="24"/>
    <n v="12"/>
    <d v="1899-12-30T12:00:00"/>
    <n v="44282"/>
    <s v="Damaged, Return from Distributor"/>
    <n v="548596.19039999996"/>
    <x v="0"/>
    <n v="24"/>
    <n v="548596.19039999996"/>
    <x v="2"/>
    <x v="0"/>
  </r>
  <r>
    <x v="0"/>
    <x v="3"/>
    <n v="44295"/>
    <x v="5"/>
    <x v="0"/>
    <x v="24"/>
    <x v="2"/>
    <x v="33"/>
    <s v="Chả lụa quết nhất phẩm – 200G"/>
    <s v="Gói"/>
    <n v="4"/>
    <n v="0.8"/>
    <d v="1899-12-30T04:48:00"/>
    <n v="44279"/>
    <s v="Damaged"/>
    <n v="95912.979600000006"/>
    <x v="0"/>
    <n v="0"/>
    <n v="0"/>
    <x v="2"/>
    <x v="0"/>
  </r>
  <r>
    <x v="0"/>
    <x v="3"/>
    <n v="44295"/>
    <x v="5"/>
    <x v="0"/>
    <x v="11"/>
    <x v="2"/>
    <x v="9"/>
    <s v="Chả Lụa Quết Thượng Hạng 500g (mát)"/>
    <s v="Gói"/>
    <n v="2"/>
    <n v="1"/>
    <d v="1899-12-30T12:00:00"/>
    <n v="44284"/>
    <s v="Break FIFO"/>
    <n v="134252.1128"/>
    <x v="0"/>
    <n v="2"/>
    <n v="134252.1128"/>
    <x v="2"/>
    <x v="0"/>
  </r>
  <r>
    <x v="0"/>
    <x v="3"/>
    <n v="44295"/>
    <x v="3"/>
    <x v="0"/>
    <x v="21"/>
    <x v="2"/>
    <x v="65"/>
    <s v="Đậu hũ chiên Ông Kim's 350gr"/>
    <s v="Hộp"/>
    <n v="8"/>
    <n v="2.8"/>
    <d v="1899-12-30T08:24:00"/>
    <n v="44286"/>
    <s v="Damaged, Return from Distributor"/>
    <n v="121000.0416"/>
    <x v="0"/>
    <n v="0"/>
    <n v="0"/>
    <x v="2"/>
    <x v="0"/>
  </r>
  <r>
    <x v="0"/>
    <x v="3"/>
    <n v="44295"/>
    <x v="3"/>
    <x v="0"/>
    <x v="21"/>
    <x v="2"/>
    <x v="66"/>
    <s v="Đậu hũ miếng Bibigo Ông Kim's 250gr"/>
    <s v="Hộp"/>
    <n v="42"/>
    <n v="10.5"/>
    <d v="1899-12-30T06:00:00"/>
    <n v="44286"/>
    <s v="Damaged, Return from Distributor"/>
    <n v="355949.50439999998"/>
    <x v="0"/>
    <n v="0"/>
    <n v="0"/>
    <x v="2"/>
    <x v="0"/>
  </r>
  <r>
    <x v="0"/>
    <x v="3"/>
    <n v="44295"/>
    <x v="3"/>
    <x v="0"/>
    <x v="12"/>
    <x v="2"/>
    <x v="53"/>
    <s v="Kim chi cải thảo cắt lát Ông Kim's 5kg (B2B) - GGG"/>
    <s v="Túi"/>
    <n v="3"/>
    <n v="15"/>
    <d v="1900-01-04T00:00:00"/>
    <n v="44290"/>
    <s v="Damaged"/>
    <n v="564530.3358"/>
    <x v="0"/>
    <n v="3"/>
    <n v="564530.3358"/>
    <x v="2"/>
    <x v="0"/>
  </r>
  <r>
    <x v="0"/>
    <x v="3"/>
    <n v="44295"/>
    <x v="3"/>
    <x v="0"/>
    <x v="12"/>
    <x v="2"/>
    <x v="55"/>
    <s v="Bibigo Kimchi cải thảo cây 5kg"/>
    <s v="Bịch"/>
    <n v="6"/>
    <n v="30"/>
    <d v="1900-01-04T00:00:00"/>
    <n v="44292"/>
    <s v="Damaged, Return from Distributor"/>
    <n v="437676.79499999998"/>
    <x v="0"/>
    <n v="6"/>
    <n v="437676.79499999993"/>
    <x v="2"/>
    <x v="0"/>
  </r>
  <r>
    <x v="0"/>
    <x v="3"/>
    <n v="44295"/>
    <x v="5"/>
    <x v="0"/>
    <x v="11"/>
    <x v="2"/>
    <x v="43"/>
    <s v="Chả Cá Quết - Chả Cá Kiểu Nha Trang 280G (mát)"/>
    <s v="Gói"/>
    <n v="5"/>
    <n v="1.4"/>
    <d v="1899-12-30T06:43:12"/>
    <n v="44291"/>
    <s v="Damaged, Return from Distributor"/>
    <n v="130716.7475"/>
    <x v="0"/>
    <n v="5"/>
    <n v="130716.7475"/>
    <x v="2"/>
    <x v="0"/>
  </r>
  <r>
    <x v="0"/>
    <x v="3"/>
    <n v="44295"/>
    <x v="3"/>
    <x v="0"/>
    <x v="12"/>
    <x v="2"/>
    <x v="18"/>
    <s v="Kim chi cải thảo cắt lát Ông Kim's 300g"/>
    <s v="Hộp"/>
    <n v="96"/>
    <n v="28.799999999999997"/>
    <d v="1899-12-30T07:12:00"/>
    <n v="44293"/>
    <s v="Damaged, Return from Distributor"/>
    <n v="2055372.6048000001"/>
    <x v="0"/>
    <n v="96"/>
    <n v="2055372.6048000001"/>
    <x v="2"/>
    <x v="0"/>
  </r>
  <r>
    <x v="0"/>
    <x v="3"/>
    <n v="44295"/>
    <x v="3"/>
    <x v="0"/>
    <x v="21"/>
    <x v="2"/>
    <x v="87"/>
    <s v="Đậu hũ non Bibigo Ông Kim's 220gr"/>
    <s v="Túi"/>
    <n v="2"/>
    <n v="0.44"/>
    <d v="1899-12-30T05:16:48"/>
    <n v="44292"/>
    <s v="Sales under FC"/>
    <n v="13019.7394"/>
    <x v="0"/>
    <n v="2"/>
    <n v="13019.7394"/>
    <x v="2"/>
    <x v="0"/>
  </r>
  <r>
    <x v="0"/>
    <x v="3"/>
    <n v="44295"/>
    <x v="9"/>
    <x v="0"/>
    <x v="28"/>
    <x v="1"/>
    <x v="268"/>
    <s v="Trà Olong 27 (BTP sau lựa)"/>
    <s v="Kg"/>
    <n v="142"/>
    <n v="142"/>
    <d v="1899-12-31T00:00:00"/>
    <m/>
    <s v="Hàng hỏng ngày 06/11/2020 sự cố cháy tủ sấy trà (Factory issue)"/>
    <n v="44162757.190008"/>
    <x v="0"/>
    <n v="142"/>
    <n v="44162757.190008"/>
    <x v="2"/>
    <x v="0"/>
  </r>
  <r>
    <x v="0"/>
    <x v="3"/>
    <n v="44295"/>
    <x v="8"/>
    <x v="1"/>
    <x v="22"/>
    <x v="1"/>
    <x v="269"/>
    <s v="Tinh bột biến tính Ehtext 301"/>
    <s v="Kg"/>
    <n v="150"/>
    <n v="150"/>
    <d v="1899-12-31T00:00:00"/>
    <n v="44231"/>
    <s v="Hết hạn, không sử dụng (Expired, Material of Dimsum EXO, Sterilized Sausage)"/>
    <n v="4199295.9999000002"/>
    <x v="0"/>
    <n v="150"/>
    <n v="4199295.9999000002"/>
    <x v="2"/>
    <x v="0"/>
  </r>
  <r>
    <x v="0"/>
    <x v="3"/>
    <n v="44295"/>
    <x v="8"/>
    <x v="1"/>
    <x v="22"/>
    <x v="1"/>
    <x v="270"/>
    <s v="Đạm Scanpork D90"/>
    <s v="Kg"/>
    <n v="140"/>
    <n v="140"/>
    <d v="1899-12-31T00:00:00"/>
    <n v="44155"/>
    <s v="Hết hạn, không sử dụng (Expired, Material of Pork Sterilized Sausage)"/>
    <n v="17290000"/>
    <x v="0"/>
    <n v="140"/>
    <n v="17290000"/>
    <x v="2"/>
    <x v="0"/>
  </r>
  <r>
    <x v="0"/>
    <x v="3"/>
    <n v="44295"/>
    <x v="8"/>
    <x v="1"/>
    <x v="22"/>
    <x v="1"/>
    <x v="271"/>
    <s v="Hương nhục đậu khấu - Nutmeg"/>
    <s v="Kg"/>
    <n v="20"/>
    <n v="20"/>
    <d v="1899-12-31T00:00:00"/>
    <n v="44202"/>
    <s v="Hết hạn, không sử dụng (Expired, Material of Sterilized Sausage)"/>
    <n v="3830000"/>
    <x v="0"/>
    <n v="20"/>
    <n v="3830000"/>
    <x v="2"/>
    <x v="0"/>
  </r>
  <r>
    <x v="0"/>
    <x v="3"/>
    <n v="44295"/>
    <x v="8"/>
    <x v="1"/>
    <x v="22"/>
    <x v="1"/>
    <x v="271"/>
    <s v="Hương nhục đậu khấu - Nutmeg"/>
    <s v="Kg"/>
    <n v="20"/>
    <n v="20"/>
    <d v="1899-12-31T00:00:00"/>
    <n v="44257"/>
    <s v="Hết hạn, không sử dụng (Expired, Material of Sterilized Sausage)"/>
    <n v="3830000"/>
    <x v="0"/>
    <n v="20"/>
    <n v="3830000"/>
    <x v="2"/>
    <x v="0"/>
  </r>
  <r>
    <x v="0"/>
    <x v="3"/>
    <n v="44295"/>
    <x v="8"/>
    <x v="1"/>
    <x v="22"/>
    <x v="1"/>
    <x v="272"/>
    <s v="Hương bò GF110120-3-3"/>
    <s v="Kg"/>
    <n v="40"/>
    <n v="40"/>
    <d v="1899-12-31T00:00:00"/>
    <n v="44179"/>
    <s v="Hết hạn, không sử dụng (Expired, Material of Beef Ball)"/>
    <n v="8768524"/>
    <x v="0"/>
    <n v="40"/>
    <n v="8768524"/>
    <x v="2"/>
    <x v="0"/>
  </r>
  <r>
    <x v="0"/>
    <x v="3"/>
    <n v="44295"/>
    <x v="8"/>
    <x v="1"/>
    <x v="22"/>
    <x v="1"/>
    <x v="273"/>
    <s v="Cơm dừa sấy khô"/>
    <s v="Kg"/>
    <n v="50"/>
    <n v="50"/>
    <d v="1899-12-31T00:00:00"/>
    <n v="44228"/>
    <s v="Hết hạn, không sử dụng (Expired, Material of Coconut Sticky Rice TFG)"/>
    <n v="4525000"/>
    <x v="0"/>
    <n v="50"/>
    <n v="4525000"/>
    <x v="2"/>
    <x v="0"/>
  </r>
  <r>
    <x v="0"/>
    <x v="3"/>
    <n v="44295"/>
    <x v="8"/>
    <x v="1"/>
    <x v="22"/>
    <x v="1"/>
    <x v="274"/>
    <s v="Sorbitol dạng bột ( Indonesia)"/>
    <s v="Kg"/>
    <n v="20"/>
    <n v="20"/>
    <d v="1899-12-31T00:00:00"/>
    <n v="44215"/>
    <s v="Hết hạn, không sử dụng (Expired, Material of  Xiao long bao skin TFG)"/>
    <n v="739962"/>
    <x v="0"/>
    <n v="20"/>
    <n v="739962"/>
    <x v="2"/>
    <x v="0"/>
  </r>
  <r>
    <x v="0"/>
    <x v="3"/>
    <n v="44295"/>
    <x v="8"/>
    <x v="1"/>
    <x v="22"/>
    <x v="1"/>
    <x v="275"/>
    <s v="Màu thực phẩm - Màu Caramen"/>
    <s v="Kg"/>
    <n v="60"/>
    <n v="60"/>
    <d v="1899-12-31T00:00:00"/>
    <n v="44256"/>
    <s v="Hết hạn, không sử dụng (Expired, Material of Vietnamese Beef Ham)"/>
    <n v="1911837.9999599999"/>
    <x v="0"/>
    <n v="60"/>
    <n v="1911837.9999599999"/>
    <x v="2"/>
    <x v="0"/>
  </r>
  <r>
    <x v="0"/>
    <x v="3"/>
    <n v="44295"/>
    <x v="8"/>
    <x v="1"/>
    <x v="22"/>
    <x v="1"/>
    <x v="276"/>
    <s v="Màu thực phẩm - Màu vàng"/>
    <s v="Kg"/>
    <n v="3"/>
    <n v="3"/>
    <d v="1899-12-31T00:00:00"/>
    <n v="44277"/>
    <s v="Hết hạn, không sử dụng (Expired, Material of Royal Shrimp Hacao DJM)"/>
    <n v="676503.99999899999"/>
    <x v="0"/>
    <n v="3"/>
    <n v="676503.99999899999"/>
    <x v="2"/>
    <x v="0"/>
  </r>
  <r>
    <x v="0"/>
    <x v="3"/>
    <n v="44295"/>
    <x v="8"/>
    <x v="1"/>
    <x v="22"/>
    <x v="1"/>
    <x v="277"/>
    <s v="Dấm tiều Thuận Thành"/>
    <s v="LIT"/>
    <n v="19.809999999999999"/>
    <n v="19.809999999999999"/>
    <d v="1899-12-31T00:00:00"/>
    <n v="44279"/>
    <s v="Hết hạn, không sử dụng (Expired, Material of De-MKT SKUs - Ready Meal, Mì xá xíu khô)"/>
    <n v="264509.99999318999"/>
    <x v="0"/>
    <n v="19.809999999999999"/>
    <n v="264509.99999318999"/>
    <x v="2"/>
    <x v="0"/>
  </r>
  <r>
    <x v="0"/>
    <x v="3"/>
    <n v="44295"/>
    <x v="10"/>
    <x v="1"/>
    <x v="46"/>
    <x v="1"/>
    <x v="278"/>
    <s v="Màng nhựa Casing (phi 72mm)"/>
    <s v="M"/>
    <n v="14800"/>
    <n v="46.25"/>
    <d v="1899-12-30T00:04:30"/>
    <m/>
    <s v="Không sử dụng (Obsolete Package Material),Change packing due to shrinkage"/>
    <n v="70554375"/>
    <x v="0"/>
    <n v="0"/>
    <n v="0"/>
    <x v="2"/>
    <x v="0"/>
  </r>
  <r>
    <x v="0"/>
    <x v="3"/>
    <n v="44295"/>
    <x v="8"/>
    <x v="1"/>
    <x v="22"/>
    <x v="1"/>
    <x v="279"/>
    <s v="Hương khói lỏng"/>
    <s v="Kg"/>
    <n v="4.8559999999999999"/>
    <n v="4.8559999999999999"/>
    <d v="1899-12-31T00:00:00"/>
    <n v="44231"/>
    <s v="Material of Mexico sausage, Stock left due to deferent in technical at Foseca/ HP"/>
    <n v="2219470.6129999999"/>
    <x v="0"/>
    <n v="4.8559999999999999"/>
    <n v="2219470.6129999999"/>
    <x v="2"/>
    <x v="0"/>
  </r>
  <r>
    <x v="0"/>
    <x v="3"/>
    <n v="44295"/>
    <x v="8"/>
    <x v="1"/>
    <x v="22"/>
    <x v="1"/>
    <x v="280"/>
    <s v="HƯƠNG NƯỚC MẮM"/>
    <s v="Kg"/>
    <n v="30.8"/>
    <n v="30.8"/>
    <d v="1899-12-31T00:00:00"/>
    <n v="44249"/>
    <s v="Hết hạn, không sử dụng (Expired)"/>
    <n v="6868164.5259920005"/>
    <x v="0"/>
    <n v="30.8"/>
    <n v="6868164.5259920005"/>
    <x v="2"/>
    <x v="0"/>
  </r>
  <r>
    <x v="0"/>
    <x v="3"/>
    <n v="44295"/>
    <x v="8"/>
    <x v="1"/>
    <x v="22"/>
    <x v="1"/>
    <x v="281"/>
    <s v="Nước mắm 12 độ đạm"/>
    <s v="Kg"/>
    <n v="476.82"/>
    <n v="476.82"/>
    <d v="1899-12-31T00:00:00"/>
    <n v="44251"/>
    <s v="Hết hạn, không sử dụng (Expired)"/>
    <n v="8758976.0867699385"/>
    <x v="0"/>
    <n v="476.82"/>
    <n v="8758976.0867699385"/>
    <x v="2"/>
    <x v="0"/>
  </r>
  <r>
    <x v="0"/>
    <x v="3"/>
    <n v="44295"/>
    <x v="8"/>
    <x v="1"/>
    <x v="22"/>
    <x v="1"/>
    <x v="282"/>
    <s v="Hương đậu hủ"/>
    <s v="Kg"/>
    <n v="10.26"/>
    <n v="10.26"/>
    <d v="1899-12-31T00:00:00"/>
    <n v="44206"/>
    <s v="Hết hạn, không sử dụng (Expired)"/>
    <n v="11098229.175000001"/>
    <x v="0"/>
    <n v="10.26"/>
    <n v="11098229.175000001"/>
    <x v="2"/>
    <x v="0"/>
  </r>
  <r>
    <x v="0"/>
    <x v="3"/>
    <n v="44295"/>
    <x v="8"/>
    <x v="1"/>
    <x v="22"/>
    <x v="1"/>
    <x v="283"/>
    <s v="Lá chanh"/>
    <s v="Kg"/>
    <n v="1.8"/>
    <n v="1.8"/>
    <d v="1899-12-31T00:00:00"/>
    <m/>
    <s v=" Stop Hot pot &quot;Hoa Qua Son&quot;, cannot use for other product "/>
    <n v="713667.9999996"/>
    <x v="0"/>
    <n v="1.8"/>
    <n v="713667.9999996"/>
    <x v="2"/>
    <x v="0"/>
  </r>
  <r>
    <x v="0"/>
    <x v="3"/>
    <n v="44295"/>
    <x v="8"/>
    <x v="1"/>
    <x v="22"/>
    <x v="1"/>
    <x v="284"/>
    <s v="Hỗn hợp đạm động vật "/>
    <s v="Kg"/>
    <n v="12"/>
    <n v="12"/>
    <d v="1899-12-31T00:00:00"/>
    <m/>
    <s v="Damaged (Not used due to breaking by mouse)"/>
    <n v="5414070"/>
    <x v="0"/>
    <n v="12"/>
    <n v="5414070"/>
    <x v="2"/>
    <x v="0"/>
  </r>
  <r>
    <x v="0"/>
    <x v="3"/>
    <n v="44295"/>
    <x v="10"/>
    <x v="1"/>
    <x v="46"/>
    <x v="1"/>
    <x v="285"/>
    <s v="Vỏ bọc xúc xích Collagen Casing 24"/>
    <s v="M"/>
    <n v="38880"/>
    <n v="121.25"/>
    <d v="1899-12-30T00:04:30"/>
    <n v="44245"/>
    <s v="QA/QC confirmed cannot extend SL"/>
    <n v="106129173.75392"/>
    <x v="0"/>
    <n v="38880"/>
    <n v="106129173.75392"/>
    <x v="2"/>
    <x v="0"/>
  </r>
  <r>
    <x v="0"/>
    <x v="4"/>
    <n v="44330"/>
    <x v="7"/>
    <x v="0"/>
    <x v="9"/>
    <x v="0"/>
    <x v="286"/>
    <s v="Ớt bột Ninh Thuận"/>
    <s v="Gói"/>
    <n v="1"/>
    <n v="0.1"/>
    <d v="1899-12-30T02:24:00"/>
    <n v="44238"/>
    <s v="Quality issues"/>
    <n v="15390.8421"/>
    <x v="0"/>
    <n v="1"/>
    <n v="15390.8421"/>
    <x v="2"/>
    <x v="0"/>
  </r>
  <r>
    <x v="0"/>
    <x v="4"/>
    <n v="44330"/>
    <x v="0"/>
    <x v="0"/>
    <x v="0"/>
    <x v="0"/>
    <x v="228"/>
    <s v="Chả Giò Da Xốp Cầu Tre - Nhân Tôm và Thịt - Gói 400G"/>
    <s v="Gói"/>
    <n v="1"/>
    <n v="0.4"/>
    <d v="1899-12-30T09:36:00"/>
    <n v="44492"/>
    <s v="Quality issues"/>
    <n v="26877.229800000001"/>
    <x v="0"/>
    <n v="1"/>
    <n v="26877.229800000001"/>
    <x v="2"/>
    <x v="0"/>
  </r>
  <r>
    <x v="0"/>
    <x v="4"/>
    <n v="44330"/>
    <x v="3"/>
    <x v="0"/>
    <x v="21"/>
    <x v="0"/>
    <x v="107"/>
    <s v="Đậu hũ non Bibigo Ông Kim's 250gr"/>
    <s v="Hộp"/>
    <n v="1"/>
    <n v="0.25"/>
    <d v="1899-12-30T06:00:00"/>
    <n v="44160"/>
    <s v="Quality issues"/>
    <n v="7774.2948999999999"/>
    <x v="0"/>
    <n v="1"/>
    <n v="7774.2948999999999"/>
    <x v="2"/>
    <x v="0"/>
  </r>
  <r>
    <x v="0"/>
    <x v="4"/>
    <n v="44330"/>
    <x v="3"/>
    <x v="0"/>
    <x v="21"/>
    <x v="0"/>
    <x v="107"/>
    <s v="Đậu hũ non Bibigo Ông Kim's 250gr"/>
    <s v="Hộp"/>
    <n v="1"/>
    <n v="0.25"/>
    <d v="1899-12-30T06:00:00"/>
    <n v="44161"/>
    <s v="Quality issues"/>
    <n v="7774.2948999999999"/>
    <x v="0"/>
    <n v="1"/>
    <n v="7774.2948999999999"/>
    <x v="2"/>
    <x v="0"/>
  </r>
  <r>
    <x v="0"/>
    <x v="4"/>
    <n v="44330"/>
    <x v="3"/>
    <x v="0"/>
    <x v="12"/>
    <x v="0"/>
    <x v="53"/>
    <s v="Kim chi cải thảo cắt lát Ông Kim's 5Kg-GGG"/>
    <s v="Túi"/>
    <n v="2"/>
    <n v="10"/>
    <d v="1900-01-04T00:00:00"/>
    <n v="44200"/>
    <s v="Quality issues"/>
    <n v="304071.41500000004"/>
    <x v="0"/>
    <n v="2"/>
    <n v="304071.41500000004"/>
    <x v="2"/>
    <x v="0"/>
  </r>
  <r>
    <x v="0"/>
    <x v="4"/>
    <n v="44330"/>
    <x v="0"/>
    <x v="0"/>
    <x v="3"/>
    <x v="0"/>
    <x v="230"/>
    <s v="Há Cảo Thượng Hạng - Gói 300G"/>
    <s v="Gói"/>
    <n v="1"/>
    <n v="0.3"/>
    <d v="1899-12-30T07:12:00"/>
    <n v="44484"/>
    <s v="Quality issues"/>
    <n v="38549.183400000002"/>
    <x v="0"/>
    <n v="1"/>
    <n v="38549.183400000002"/>
    <x v="2"/>
    <x v="0"/>
  </r>
  <r>
    <x v="0"/>
    <x v="4"/>
    <n v="44330"/>
    <x v="0"/>
    <x v="0"/>
    <x v="18"/>
    <x v="0"/>
    <x v="287"/>
    <s v="Bánh Mandu Thịt CJ bibigo - 1.0Kg"/>
    <s v="Gói"/>
    <n v="1"/>
    <n v="1"/>
    <d v="1899-12-31T00:00:00"/>
    <n v="44439"/>
    <s v="Quality issues"/>
    <n v="50819"/>
    <x v="0"/>
    <n v="1"/>
    <n v="50819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200"/>
    <s v="Quality issues"/>
    <n v="14532.8298"/>
    <x v="0"/>
    <n v="2"/>
    <n v="14532.8298"/>
    <x v="2"/>
    <x v="0"/>
  </r>
  <r>
    <x v="0"/>
    <x v="4"/>
    <n v="44330"/>
    <x v="3"/>
    <x v="0"/>
    <x v="21"/>
    <x v="0"/>
    <x v="87"/>
    <s v="Đậu hũ non Bibigo Ông Kim's 220gr"/>
    <s v="Túi"/>
    <n v="1"/>
    <n v="0.22"/>
    <d v="1899-12-30T05:16:48"/>
    <n v="44160"/>
    <s v="Quality issues"/>
    <n v="6509.9683999999997"/>
    <x v="0"/>
    <n v="1"/>
    <n v="6509.9683999999997"/>
    <x v="2"/>
    <x v="0"/>
  </r>
  <r>
    <x v="0"/>
    <x v="4"/>
    <n v="44330"/>
    <x v="6"/>
    <x v="0"/>
    <x v="8"/>
    <x v="0"/>
    <x v="288"/>
    <s v="Snack Rong biển Bibigo vị truyền thống 25gr"/>
    <s v="Túi"/>
    <n v="33"/>
    <n v="0.82499999999999996"/>
    <d v="1899-12-30T00:36:00"/>
    <n v="44145"/>
    <s v="Stocks Aging  in WH(low sale)"/>
    <n v="256439.4987"/>
    <x v="0"/>
    <n v="33"/>
    <n v="256439.4987"/>
    <x v="2"/>
    <x v="0"/>
  </r>
  <r>
    <x v="0"/>
    <x v="4"/>
    <n v="44330"/>
    <x v="6"/>
    <x v="0"/>
    <x v="8"/>
    <x v="0"/>
    <x v="289"/>
    <s v="Snack Rong biển Bibigo vị Bắp Mật Ong 25gr"/>
    <s v="Túi"/>
    <n v="30"/>
    <n v="0.75"/>
    <d v="1899-12-30T00:36:00"/>
    <n v="44145"/>
    <s v="Stocks Aging  in WH(low sale)"/>
    <n v="243174.99900000001"/>
    <x v="0"/>
    <n v="30"/>
    <n v="243174.99900000001"/>
    <x v="2"/>
    <x v="0"/>
  </r>
  <r>
    <x v="0"/>
    <x v="4"/>
    <n v="44330"/>
    <x v="3"/>
    <x v="0"/>
    <x v="21"/>
    <x v="0"/>
    <x v="87"/>
    <s v="Đậu hũ non Bibigo Ông Kim's 220gr"/>
    <s v="Túi"/>
    <n v="5"/>
    <n v="1.1000000000000001"/>
    <d v="1899-12-30T05:16:48"/>
    <n v="44161"/>
    <s v="Stocks Aging  in WH(low sale)"/>
    <n v="32549.841999999997"/>
    <x v="0"/>
    <n v="5"/>
    <n v="32549.841999999997"/>
    <x v="2"/>
    <x v="0"/>
  </r>
  <r>
    <x v="0"/>
    <x v="4"/>
    <n v="44330"/>
    <x v="3"/>
    <x v="0"/>
    <x v="21"/>
    <x v="0"/>
    <x v="107"/>
    <s v="Đậu hũ non Bibigo Ông Kim's 250gr"/>
    <s v="Hộp"/>
    <n v="17"/>
    <n v="4.25"/>
    <d v="1899-12-30T06:00:00"/>
    <n v="44161"/>
    <s v="Quality issues"/>
    <n v="132163.01329999999"/>
    <x v="0"/>
    <n v="17"/>
    <n v="132163.01329999999"/>
    <x v="2"/>
    <x v="0"/>
  </r>
  <r>
    <x v="0"/>
    <x v="4"/>
    <n v="44330"/>
    <x v="5"/>
    <x v="0"/>
    <x v="16"/>
    <x v="0"/>
    <x v="290"/>
    <s v="Lẩu thả Long Cung 300g"/>
    <s v="Gói"/>
    <n v="3"/>
    <n v="0.8999999999999998"/>
    <d v="1899-12-30T07:12:00"/>
    <n v="44452"/>
    <s v="Quality issues"/>
    <n v="78140.077499999999"/>
    <x v="0"/>
    <n v="3"/>
    <n v="78140.077499999999"/>
    <x v="2"/>
    <x v="0"/>
  </r>
  <r>
    <x v="0"/>
    <x v="4"/>
    <n v="44330"/>
    <x v="3"/>
    <x v="0"/>
    <x v="12"/>
    <x v="0"/>
    <x v="53"/>
    <s v="Kim chi cải thảo cắt lát Ông Kim's 5Kg-GGG"/>
    <s v="Túi"/>
    <n v="1"/>
    <n v="5"/>
    <d v="1900-01-04T00:00:00"/>
    <n v="44200"/>
    <s v="Quality issues"/>
    <n v="152035.70750000002"/>
    <x v="0"/>
    <n v="1"/>
    <n v="152035.70750000002"/>
    <x v="2"/>
    <x v="0"/>
  </r>
  <r>
    <x v="0"/>
    <x v="4"/>
    <n v="44330"/>
    <x v="7"/>
    <x v="0"/>
    <x v="13"/>
    <x v="0"/>
    <x v="82"/>
    <s v="Bột chiên giòn 150g"/>
    <s v="Túi"/>
    <n v="1"/>
    <n v="0.15"/>
    <d v="1899-12-30T03:36:00"/>
    <n v="44452"/>
    <s v="Quality issues"/>
    <n v="4321.0626000000002"/>
    <x v="0"/>
    <n v="1"/>
    <n v="4321.0626000000002"/>
    <x v="2"/>
    <x v="0"/>
  </r>
  <r>
    <x v="0"/>
    <x v="4"/>
    <n v="44330"/>
    <x v="0"/>
    <x v="0"/>
    <x v="3"/>
    <x v="0"/>
    <x v="291"/>
    <s v="Há Cảo Mini - Gói 500G"/>
    <s v="Gói"/>
    <n v="1"/>
    <n v="0.5"/>
    <d v="1899-12-30T12:00:00"/>
    <n v="44489"/>
    <s v="Quality issues"/>
    <n v="35290"/>
    <x v="0"/>
    <n v="1"/>
    <n v="35290"/>
    <x v="2"/>
    <x v="0"/>
  </r>
  <r>
    <x v="0"/>
    <x v="4"/>
    <n v="44330"/>
    <x v="3"/>
    <x v="0"/>
    <x v="21"/>
    <x v="0"/>
    <x v="87"/>
    <s v="Đậu hũ non Bibigo Ông Kim's 220gr"/>
    <s v="Túi"/>
    <n v="1"/>
    <n v="0.22"/>
    <d v="1899-12-30T05:16:48"/>
    <n v="44161"/>
    <s v="Stocks Aging  in WH(low sale)"/>
    <n v="6509.9683999999997"/>
    <x v="0"/>
    <n v="1"/>
    <n v="6509.9683999999997"/>
    <x v="2"/>
    <x v="0"/>
  </r>
  <r>
    <x v="0"/>
    <x v="4"/>
    <n v="44330"/>
    <x v="3"/>
    <x v="0"/>
    <x v="12"/>
    <x v="0"/>
    <x v="41"/>
    <s v="Kim chi cải thảo chay Bibigo Ông Kim's 500gr"/>
    <s v="Hộp"/>
    <n v="2"/>
    <n v="1"/>
    <d v="1899-12-30T12:00:00"/>
    <n v="44193"/>
    <s v="Quality issues"/>
    <n v="56888.848599999998"/>
    <x v="0"/>
    <n v="2"/>
    <n v="56888.848599999998"/>
    <x v="2"/>
    <x v="0"/>
  </r>
  <r>
    <x v="0"/>
    <x v="4"/>
    <n v="44330"/>
    <x v="3"/>
    <x v="0"/>
    <x v="12"/>
    <x v="0"/>
    <x v="292"/>
    <s v="Kim chi cải bắp Koryo Bibigo Ông Kim's 500gr"/>
    <s v="Túi"/>
    <n v="8"/>
    <n v="4"/>
    <d v="1899-12-30T12:00:00"/>
    <n v="44163"/>
    <s v="Stocks Aging  in WH(low sale)"/>
    <n v="206606.6464"/>
    <x v="0"/>
    <n v="8"/>
    <n v="206606.6464"/>
    <x v="2"/>
    <x v="0"/>
  </r>
  <r>
    <x v="0"/>
    <x v="4"/>
    <n v="44330"/>
    <x v="3"/>
    <x v="0"/>
    <x v="21"/>
    <x v="0"/>
    <x v="107"/>
    <s v="Đậu hũ non Bibigo Ông Kim's 250gr"/>
    <s v="Hộp"/>
    <n v="16"/>
    <n v="4"/>
    <d v="1899-12-30T06:00:00"/>
    <n v="44161"/>
    <s v="Quality issues"/>
    <n v="124388.7184"/>
    <x v="0"/>
    <n v="16"/>
    <n v="124388.7184"/>
    <x v="2"/>
    <x v="0"/>
  </r>
  <r>
    <x v="0"/>
    <x v="4"/>
    <n v="44330"/>
    <x v="6"/>
    <x v="0"/>
    <x v="8"/>
    <x v="0"/>
    <x v="16"/>
    <s v="Snack rong biển nướng Bibigo vị truyền thống 10gr"/>
    <s v="Túi"/>
    <n v="1"/>
    <n v="0.01"/>
    <d v="1899-12-30T00:14:24"/>
    <n v="44302"/>
    <s v="Quality issues"/>
    <n v="10350"/>
    <x v="0"/>
    <n v="1"/>
    <n v="10350"/>
    <x v="2"/>
    <x v="0"/>
  </r>
  <r>
    <x v="0"/>
    <x v="4"/>
    <n v="44330"/>
    <x v="3"/>
    <x v="0"/>
    <x v="12"/>
    <x v="0"/>
    <x v="293"/>
    <s v="Kim chi cải thảo cắt lát Ông Kim's 300g - TÚI"/>
    <s v="Túi"/>
    <n v="1"/>
    <n v="0.3"/>
    <d v="1899-12-30T07:12:00"/>
    <n v="44197"/>
    <s v="Quality issues"/>
    <n v="10897.04"/>
    <x v="0"/>
    <n v="1"/>
    <n v="10897.04"/>
    <x v="2"/>
    <x v="0"/>
  </r>
  <r>
    <x v="0"/>
    <x v="4"/>
    <n v="44330"/>
    <x v="3"/>
    <x v="0"/>
    <x v="12"/>
    <x v="0"/>
    <x v="31"/>
    <s v="Bibigo Kimchi cải thảo - ngò 100gr"/>
    <s v="Túi"/>
    <n v="3"/>
    <n v="0.30000000000000004"/>
    <d v="1899-12-30T02:24:00"/>
    <n v="44195"/>
    <s v="Quality issues"/>
    <n v="21522.505499999999"/>
    <x v="0"/>
    <n v="3"/>
    <n v="21522.505499999999"/>
    <x v="2"/>
    <x v="0"/>
  </r>
  <r>
    <x v="0"/>
    <x v="4"/>
    <n v="44330"/>
    <x v="3"/>
    <x v="0"/>
    <x v="12"/>
    <x v="0"/>
    <x v="68"/>
    <s v="Bibigo Kimchi cải thảo - ngò 500gr"/>
    <s v="Hộp"/>
    <n v="4"/>
    <n v="2"/>
    <d v="1899-12-30T12:00:00"/>
    <n v="44191"/>
    <s v="Quality issues"/>
    <n v="116359.8584"/>
    <x v="0"/>
    <n v="4"/>
    <n v="116359.8584"/>
    <x v="2"/>
    <x v="0"/>
  </r>
  <r>
    <x v="0"/>
    <x v="4"/>
    <n v="44330"/>
    <x v="5"/>
    <x v="0"/>
    <x v="16"/>
    <x v="0"/>
    <x v="27"/>
    <s v="Bò viên ngon Cầu Tre 500gr"/>
    <s v="Gói"/>
    <n v="18"/>
    <n v="9"/>
    <d v="1899-12-30T12:00:00"/>
    <n v="44455"/>
    <s v="Quality issues"/>
    <n v="767797.12439999997"/>
    <x v="0"/>
    <n v="18"/>
    <n v="767797.12439999997"/>
    <x v="2"/>
    <x v="0"/>
  </r>
  <r>
    <x v="0"/>
    <x v="4"/>
    <n v="44330"/>
    <x v="5"/>
    <x v="0"/>
    <x v="16"/>
    <x v="0"/>
    <x v="46"/>
    <s v="Cá viên ngon Cầu Tre 500gr"/>
    <s v="Túi"/>
    <n v="10"/>
    <n v="5"/>
    <d v="1899-12-30T12:00:00"/>
    <n v="44469"/>
    <s v="Quality issues"/>
    <n v="223410.57500000001"/>
    <x v="0"/>
    <n v="10"/>
    <n v="223410.57500000001"/>
    <x v="2"/>
    <x v="0"/>
  </r>
  <r>
    <x v="0"/>
    <x v="4"/>
    <n v="44330"/>
    <x v="0"/>
    <x v="0"/>
    <x v="18"/>
    <x v="0"/>
    <x v="294"/>
    <s v="Bánh Mandu Thịt CJ Bibigo - Gói 175G"/>
    <s v="Gói"/>
    <n v="1"/>
    <n v="0.17499999999999999"/>
    <d v="1899-12-30T04:12:00"/>
    <n v="44495"/>
    <s v="Quality issues"/>
    <n v="14277.5"/>
    <x v="0"/>
    <n v="1"/>
    <n v="14277.5"/>
    <x v="2"/>
    <x v="0"/>
  </r>
  <r>
    <x v="0"/>
    <x v="4"/>
    <n v="44330"/>
    <x v="5"/>
    <x v="0"/>
    <x v="1"/>
    <x v="0"/>
    <x v="295"/>
    <s v="OHYA Tokboki chả cá- Xốt Tok Tok Phô Mai 180g"/>
    <s v="Khay"/>
    <n v="3"/>
    <n v="0.54"/>
    <d v="1899-12-30T04:19:12"/>
    <n v="44458"/>
    <s v="Quality issues"/>
    <n v="56216.379300000001"/>
    <x v="0"/>
    <n v="3"/>
    <n v="56216.379300000001"/>
    <x v="2"/>
    <x v="0"/>
  </r>
  <r>
    <x v="0"/>
    <x v="4"/>
    <n v="44330"/>
    <x v="5"/>
    <x v="0"/>
    <x v="11"/>
    <x v="0"/>
    <x v="26"/>
    <s v="Chả cá viên 500g"/>
    <s v="Túi"/>
    <n v="1"/>
    <n v="0.5"/>
    <d v="1899-12-30T12:00:00"/>
    <n v="44190"/>
    <s v="Quality issues"/>
    <n v="35585.228900000002"/>
    <x v="0"/>
    <n v="1"/>
    <n v="35585.228900000002"/>
    <x v="2"/>
    <x v="0"/>
  </r>
  <r>
    <x v="0"/>
    <x v="4"/>
    <n v="44330"/>
    <x v="0"/>
    <x v="0"/>
    <x v="18"/>
    <x v="0"/>
    <x v="296"/>
    <s v="Bánh Mandu Thịt CJ Bibigo - Gói 350G"/>
    <s v="Gói"/>
    <n v="1"/>
    <n v="0.35"/>
    <d v="1899-12-30T08:24:00"/>
    <n v="44488"/>
    <s v="Quality issues"/>
    <n v="29270"/>
    <x v="0"/>
    <n v="1"/>
    <n v="29270"/>
    <x v="2"/>
    <x v="0"/>
  </r>
  <r>
    <x v="0"/>
    <x v="4"/>
    <n v="44330"/>
    <x v="0"/>
    <x v="0"/>
    <x v="0"/>
    <x v="0"/>
    <x v="297"/>
    <s v="Nem Real Thịt - Gói 400G"/>
    <s v="Gói"/>
    <n v="1"/>
    <n v="0.4"/>
    <d v="1899-12-30T09:36:00"/>
    <n v="44471"/>
    <s v="Quality issues"/>
    <n v="31140"/>
    <x v="0"/>
    <n v="1"/>
    <n v="31140"/>
    <x v="2"/>
    <x v="0"/>
  </r>
  <r>
    <x v="0"/>
    <x v="4"/>
    <n v="44330"/>
    <x v="0"/>
    <x v="0"/>
    <x v="0"/>
    <x v="0"/>
    <x v="298"/>
    <s v="Chả GIÒ REAL hải sản- gói 400g"/>
    <s v="Gói"/>
    <n v="1"/>
    <n v="0.4"/>
    <d v="1899-12-30T09:36:00"/>
    <n v="44485"/>
    <s v="Quality issues"/>
    <n v="40300.361499999999"/>
    <x v="0"/>
    <n v="1"/>
    <n v="40300.361499999999"/>
    <x v="2"/>
    <x v="0"/>
  </r>
  <r>
    <x v="0"/>
    <x v="4"/>
    <n v="44330"/>
    <x v="0"/>
    <x v="0"/>
    <x v="3"/>
    <x v="0"/>
    <x v="291"/>
    <s v="Há Cảo Mini - Gói 500G"/>
    <s v="Gói"/>
    <n v="1"/>
    <n v="0.5"/>
    <d v="1899-12-30T12:00:00"/>
    <n v="44489"/>
    <s v="Quality issues"/>
    <n v="35290"/>
    <x v="0"/>
    <n v="1"/>
    <n v="35290"/>
    <x v="2"/>
    <x v="0"/>
  </r>
  <r>
    <x v="0"/>
    <x v="4"/>
    <n v="44330"/>
    <x v="3"/>
    <x v="0"/>
    <x v="21"/>
    <x v="0"/>
    <x v="65"/>
    <s v="Đậu hũ chiên Ông Kim's 350gr"/>
    <s v="Hộp"/>
    <n v="3"/>
    <n v="1.0499999999999998"/>
    <d v="1899-12-30T08:24:00"/>
    <n v="44161"/>
    <s v="Quality issues"/>
    <n v="45375.003599999996"/>
    <x v="0"/>
    <n v="3"/>
    <n v="45375.003599999996"/>
    <x v="2"/>
    <x v="0"/>
  </r>
  <r>
    <x v="0"/>
    <x v="4"/>
    <n v="44330"/>
    <x v="3"/>
    <x v="0"/>
    <x v="12"/>
    <x v="0"/>
    <x v="41"/>
    <s v="Bibigo Kimchi cải thảo chay 500gr"/>
    <s v="Hộp"/>
    <n v="1"/>
    <n v="0.5"/>
    <d v="1899-12-30T12:00:00"/>
    <n v="44193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30"/>
    <s v="Bibigo Kimchi cải thảo cắt lát 500gr"/>
    <s v="Hộp"/>
    <n v="1"/>
    <n v="0.5"/>
    <d v="1899-12-30T12:00:00"/>
    <n v="44194"/>
    <s v="Quality issues"/>
    <n v="27468.463100000001"/>
    <x v="0"/>
    <n v="1"/>
    <n v="27468.463100000001"/>
    <x v="2"/>
    <x v="0"/>
  </r>
  <r>
    <x v="0"/>
    <x v="4"/>
    <n v="44330"/>
    <x v="3"/>
    <x v="0"/>
    <x v="21"/>
    <x v="0"/>
    <x v="107"/>
    <s v="Đậu hũ non Bibigo Ông Kim's 250gr"/>
    <s v="Hộp"/>
    <n v="1"/>
    <n v="0.25"/>
    <d v="1899-12-30T06:00:00"/>
    <n v="44161"/>
    <s v="Quality issues"/>
    <n v="7774.2948999999999"/>
    <x v="0"/>
    <n v="1"/>
    <n v="7774.2948999999999"/>
    <x v="2"/>
    <x v="0"/>
  </r>
  <r>
    <x v="0"/>
    <x v="4"/>
    <n v="44330"/>
    <x v="3"/>
    <x v="0"/>
    <x v="12"/>
    <x v="0"/>
    <x v="5"/>
    <s v="Bibigo Kimchi cải thảo cây 1kg"/>
    <s v="Túi"/>
    <n v="1"/>
    <n v="1"/>
    <d v="1899-12-31T00:00:00"/>
    <n v="44185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31"/>
    <s v="Bibigo Kimchi cải thảo - ngò 100gr"/>
    <s v="Túi"/>
    <n v="1"/>
    <n v="0.1"/>
    <d v="1899-12-30T02:24:00"/>
    <n v="44195"/>
    <s v="Quality issues"/>
    <n v="7174.1684999999998"/>
    <x v="0"/>
    <n v="1"/>
    <n v="7174.1684999999998"/>
    <x v="2"/>
    <x v="0"/>
  </r>
  <r>
    <x v="0"/>
    <x v="4"/>
    <n v="44330"/>
    <x v="3"/>
    <x v="0"/>
    <x v="12"/>
    <x v="0"/>
    <x v="68"/>
    <s v="Bibigo Kimchi cải thảo - ngò 500gr"/>
    <s v="Hộp"/>
    <n v="1"/>
    <n v="0.5"/>
    <d v="1899-12-30T12:00:00"/>
    <n v="44191"/>
    <s v="Quality issues"/>
    <n v="29089.964599999999"/>
    <x v="0"/>
    <n v="1"/>
    <n v="29089.964599999999"/>
    <x v="2"/>
    <x v="0"/>
  </r>
  <r>
    <x v="0"/>
    <x v="4"/>
    <n v="44330"/>
    <x v="4"/>
    <x v="0"/>
    <x v="25"/>
    <x v="0"/>
    <x v="109"/>
    <s v="CJ BIBIGO xốt ướp thị bulgogi - Vị ớt cay (80G*40EA)"/>
    <s v="EA"/>
    <n v="8"/>
    <n v="0.64"/>
    <d v="1899-12-30T01:55:12"/>
    <n v="44445"/>
    <s v="Quality issues"/>
    <n v="25431.804"/>
    <x v="0"/>
    <n v="8"/>
    <n v="25431.804"/>
    <x v="2"/>
    <x v="0"/>
  </r>
  <r>
    <x v="0"/>
    <x v="4"/>
    <n v="44330"/>
    <x v="3"/>
    <x v="0"/>
    <x v="12"/>
    <x v="0"/>
    <x v="85"/>
    <s v="Kimchi cải thảo cắt lát Bibigo Ông Kim's 100gr"/>
    <s v="Túi"/>
    <n v="9"/>
    <n v="0.9"/>
    <d v="1899-12-30T02:24:00"/>
    <n v="44230"/>
    <s v="Quality issues"/>
    <n v="65397.734100000001"/>
    <x v="0"/>
    <n v="9"/>
    <n v="65397.734100000001"/>
    <x v="2"/>
    <x v="0"/>
  </r>
  <r>
    <x v="0"/>
    <x v="4"/>
    <n v="44330"/>
    <x v="3"/>
    <x v="0"/>
    <x v="12"/>
    <x v="0"/>
    <x v="53"/>
    <s v="Kim chi cải thảo cắt lát Ông Kim's 5Kg-GGG"/>
    <s v="Túi"/>
    <n v="1"/>
    <n v="5"/>
    <d v="1900-01-04T00:00:00"/>
    <n v="44220"/>
    <s v="Quality issues"/>
    <n v="152035.70750000002"/>
    <x v="0"/>
    <n v="1"/>
    <n v="152035.70750000002"/>
    <x v="2"/>
    <x v="0"/>
  </r>
  <r>
    <x v="0"/>
    <x v="4"/>
    <n v="44330"/>
    <x v="7"/>
    <x v="0"/>
    <x v="13"/>
    <x v="0"/>
    <x v="82"/>
    <s v="Bột chiên giòn 150g"/>
    <s v="Túi"/>
    <n v="4"/>
    <n v="0.6"/>
    <d v="1899-12-30T03:36:00"/>
    <n v="44452"/>
    <s v="Quality issues"/>
    <n v="17284.250400000001"/>
    <x v="0"/>
    <n v="4"/>
    <n v="17284.250400000001"/>
    <x v="2"/>
    <x v="0"/>
  </r>
  <r>
    <x v="0"/>
    <x v="4"/>
    <n v="44330"/>
    <x v="0"/>
    <x v="0"/>
    <x v="3"/>
    <x v="0"/>
    <x v="299"/>
    <s v="Bánh cuộn xúc xích 65g/cái- Gói 260g"/>
    <s v="Gói"/>
    <n v="1"/>
    <n v="0.26"/>
    <d v="1899-12-30T06:14:24"/>
    <n v="44436"/>
    <s v="Quality issues"/>
    <n v="26660"/>
    <x v="0"/>
    <n v="1"/>
    <n v="26660"/>
    <x v="2"/>
    <x v="0"/>
  </r>
  <r>
    <x v="0"/>
    <x v="4"/>
    <n v="44330"/>
    <x v="3"/>
    <x v="0"/>
    <x v="12"/>
    <x v="0"/>
    <x v="30"/>
    <s v="Kim chi cải thảo cắt lát Bibigo Ông Kim's 500gr"/>
    <s v="Hộp"/>
    <n v="5"/>
    <n v="2.5"/>
    <d v="1899-12-30T12:00:00"/>
    <n v="44230"/>
    <s v="Quality issues"/>
    <n v="137342.3155"/>
    <x v="0"/>
    <n v="5"/>
    <n v="137342.3155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231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85"/>
    <s v="Kimchi cải thảo cắt lát Bibigo Ông Kim's 100gr"/>
    <s v="Túi"/>
    <n v="7"/>
    <n v="0.70000000000000007"/>
    <d v="1899-12-30T02:24:00"/>
    <n v="44233"/>
    <s v="Quality issues"/>
    <n v="50864.904299999995"/>
    <x v="0"/>
    <n v="7"/>
    <n v="50864.904299999995"/>
    <x v="2"/>
    <x v="0"/>
  </r>
  <r>
    <x v="0"/>
    <x v="4"/>
    <n v="44330"/>
    <x v="3"/>
    <x v="0"/>
    <x v="12"/>
    <x v="0"/>
    <x v="300"/>
    <s v="Dưa cải 450G"/>
    <s v="Gói"/>
    <n v="82"/>
    <n v="36.9"/>
    <d v="1899-12-30T10:48:00"/>
    <n v="44177"/>
    <s v="Stocks Aging  in WH(low sale)"/>
    <n v="1251308.4216"/>
    <x v="0"/>
    <n v="82"/>
    <n v="1251308.4216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231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85"/>
    <s v="Kimchi cải thảo cắt lát Bibigo Ông Kim's 100gr"/>
    <s v="Túi"/>
    <n v="3"/>
    <n v="0.30000000000000004"/>
    <d v="1899-12-30T02:24:00"/>
    <n v="44231"/>
    <s v="Quality issues"/>
    <n v="21799.244699999999"/>
    <x v="0"/>
    <n v="3"/>
    <n v="21799.244699999999"/>
    <x v="2"/>
    <x v="0"/>
  </r>
  <r>
    <x v="0"/>
    <x v="4"/>
    <n v="44330"/>
    <x v="3"/>
    <x v="0"/>
    <x v="12"/>
    <x v="0"/>
    <x v="30"/>
    <s v="Kim chi cải thảo cắt lát Bibigo Ông Kim's 500gr"/>
    <s v="Hộp"/>
    <n v="2"/>
    <n v="1"/>
    <d v="1899-12-30T12:00:00"/>
    <n v="44231"/>
    <s v="Quality issues"/>
    <n v="54936.926200000002"/>
    <x v="0"/>
    <n v="2"/>
    <n v="54936.926200000002"/>
    <x v="2"/>
    <x v="0"/>
  </r>
  <r>
    <x v="0"/>
    <x v="4"/>
    <n v="44330"/>
    <x v="3"/>
    <x v="0"/>
    <x v="12"/>
    <x v="0"/>
    <x v="68"/>
    <s v="Kimchi cải thảo-ngò Bibigo Ông Kim's 500gr"/>
    <s v="Hộp"/>
    <n v="1"/>
    <n v="0.5"/>
    <d v="1899-12-30T12:00:00"/>
    <n v="44238"/>
    <s v="Quality issues"/>
    <n v="29089.964599999999"/>
    <x v="0"/>
    <n v="1"/>
    <n v="29089.964599999999"/>
    <x v="2"/>
    <x v="0"/>
  </r>
  <r>
    <x v="0"/>
    <x v="4"/>
    <n v="44330"/>
    <x v="6"/>
    <x v="0"/>
    <x v="8"/>
    <x v="0"/>
    <x v="301"/>
    <s v="Rong biển ăn liền Bibigo vị Bắp mật ong 4gr * 3"/>
    <s v="Lốc"/>
    <n v="2"/>
    <n v="2.4E-2"/>
    <d v="1899-12-30T00:17:17"/>
    <n v="44390"/>
    <s v="Quality issues"/>
    <n v="18127"/>
    <x v="0"/>
    <n v="2"/>
    <n v="18127"/>
    <x v="2"/>
    <x v="0"/>
  </r>
  <r>
    <x v="0"/>
    <x v="4"/>
    <n v="44330"/>
    <x v="0"/>
    <x v="0"/>
    <x v="0"/>
    <x v="0"/>
    <x v="302"/>
    <s v="Nem Real thịt- Gói 400g"/>
    <s v="Gói"/>
    <n v="3"/>
    <n v="1.2000000000000002"/>
    <d v="1899-12-30T09:36:00"/>
    <n v="44471"/>
    <s v="Quality issues"/>
    <n v="102300.7767"/>
    <x v="0"/>
    <n v="3"/>
    <n v="102300.7767"/>
    <x v="2"/>
    <x v="0"/>
  </r>
  <r>
    <x v="0"/>
    <x v="4"/>
    <n v="44330"/>
    <x v="3"/>
    <x v="0"/>
    <x v="12"/>
    <x v="0"/>
    <x v="41"/>
    <s v="Kim chi cải thảo chay Bibigo Ông Kim's 500gr"/>
    <s v="Hộp"/>
    <n v="3"/>
    <n v="1.5"/>
    <d v="1899-12-30T12:00:00"/>
    <n v="44244"/>
    <s v="Quality issues"/>
    <n v="85333.272899999996"/>
    <x v="0"/>
    <n v="3"/>
    <n v="85333.272899999996"/>
    <x v="2"/>
    <x v="0"/>
  </r>
  <r>
    <x v="0"/>
    <x v="4"/>
    <n v="44330"/>
    <x v="3"/>
    <x v="0"/>
    <x v="47"/>
    <x v="0"/>
    <x v="42"/>
    <s v="Dưa cải 200G"/>
    <s v="Gói"/>
    <n v="1"/>
    <n v="0.2"/>
    <d v="1899-12-30T04:48:00"/>
    <n v="44245"/>
    <s v="Quality issues"/>
    <n v="6680.4982"/>
    <x v="0"/>
    <n v="1"/>
    <n v="6680.4982"/>
    <x v="2"/>
    <x v="0"/>
  </r>
  <r>
    <x v="0"/>
    <x v="4"/>
    <n v="44330"/>
    <x v="0"/>
    <x v="0"/>
    <x v="0"/>
    <x v="0"/>
    <x v="302"/>
    <s v="Nem Real thịt- Gói 400g"/>
    <s v="Gói"/>
    <n v="3"/>
    <n v="1.2000000000000002"/>
    <d v="1899-12-30T09:36:00"/>
    <n v="44471"/>
    <s v="Quality issues"/>
    <n v="102300.7767"/>
    <x v="0"/>
    <n v="3"/>
    <n v="102300.7767"/>
    <x v="2"/>
    <x v="0"/>
  </r>
  <r>
    <x v="0"/>
    <x v="4"/>
    <n v="44330"/>
    <x v="0"/>
    <x v="0"/>
    <x v="3"/>
    <x v="0"/>
    <x v="230"/>
    <s v="Há Cảo Thượng Hạng - Gói 300G"/>
    <s v="Gói"/>
    <n v="1"/>
    <n v="0.3"/>
    <d v="1899-12-30T07:12:00"/>
    <n v="44484"/>
    <s v="Quality issues"/>
    <n v="38549.183400000002"/>
    <x v="0"/>
    <n v="1"/>
    <n v="38549.183400000002"/>
    <x v="2"/>
    <x v="0"/>
  </r>
  <r>
    <x v="0"/>
    <x v="4"/>
    <n v="44330"/>
    <x v="0"/>
    <x v="0"/>
    <x v="3"/>
    <x v="0"/>
    <x v="303"/>
    <s v="Xủi Cảo - Gói 200G"/>
    <s v="Gói"/>
    <n v="2"/>
    <n v="0.4"/>
    <d v="1899-12-30T04:48:00"/>
    <n v="44530"/>
    <s v="Quality issues"/>
    <n v="33181.640400000004"/>
    <x v="0"/>
    <n v="2"/>
    <n v="33181.640400000004"/>
    <x v="2"/>
    <x v="0"/>
  </r>
  <r>
    <x v="0"/>
    <x v="4"/>
    <n v="44330"/>
    <x v="0"/>
    <x v="0"/>
    <x v="3"/>
    <x v="0"/>
    <x v="167"/>
    <s v="Xíu Mại - Gói 500G"/>
    <s v="Gói"/>
    <n v="2"/>
    <n v="1"/>
    <d v="1899-12-30T12:00:00"/>
    <n v="44538"/>
    <s v="Quality issues"/>
    <n v="75463.930399999997"/>
    <x v="0"/>
    <n v="2"/>
    <n v="75463.930399999997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33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234"/>
    <s v="Quality issues"/>
    <n v="14532.8298"/>
    <x v="0"/>
    <n v="2"/>
    <n v="14532.8298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241"/>
    <s v="Quality issues"/>
    <n v="14532.8298"/>
    <x v="0"/>
    <n v="2"/>
    <n v="14532.8298"/>
    <x v="2"/>
    <x v="0"/>
  </r>
  <r>
    <x v="0"/>
    <x v="4"/>
    <n v="44330"/>
    <x v="3"/>
    <x v="0"/>
    <x v="12"/>
    <x v="0"/>
    <x v="30"/>
    <s v="Kim chi cải thảo cắt lát Bibigo Ông Kim's 500gr"/>
    <s v="Hộp"/>
    <n v="3"/>
    <n v="1.5"/>
    <d v="1899-12-30T12:00:00"/>
    <n v="44231"/>
    <s v="Quality issues"/>
    <n v="82405.38930000001"/>
    <x v="0"/>
    <n v="3"/>
    <n v="82405.38930000001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40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30"/>
    <s v="Kim chi cải thảo cắt lát Bibigo Ông Kim's 500gr"/>
    <s v="Hộp"/>
    <n v="2"/>
    <n v="1"/>
    <d v="1899-12-30T12:00:00"/>
    <n v="44241"/>
    <s v="Quality issues"/>
    <n v="54936.926200000002"/>
    <x v="0"/>
    <n v="2"/>
    <n v="54936.926200000002"/>
    <x v="2"/>
    <x v="0"/>
  </r>
  <r>
    <x v="0"/>
    <x v="4"/>
    <n v="44330"/>
    <x v="3"/>
    <x v="0"/>
    <x v="12"/>
    <x v="0"/>
    <x v="5"/>
    <s v="kim chi cải thảo cây Bibigo Ông Kim's 1kg"/>
    <s v="Túi"/>
    <n v="3"/>
    <n v="3"/>
    <d v="1899-12-31T00:00:00"/>
    <n v="44234"/>
    <s v="Quality issues"/>
    <n v="171178.2726"/>
    <x v="0"/>
    <n v="3"/>
    <n v="171178.2726"/>
    <x v="2"/>
    <x v="0"/>
  </r>
  <r>
    <x v="0"/>
    <x v="4"/>
    <n v="44330"/>
    <x v="3"/>
    <x v="0"/>
    <x v="12"/>
    <x v="0"/>
    <x v="5"/>
    <s v="kim chi cải thảo cây Bibigo Ông Kim's 1kg"/>
    <s v="Túi"/>
    <n v="2"/>
    <n v="2"/>
    <d v="1899-12-31T00:00:00"/>
    <n v="44237"/>
    <s v="Quality issues"/>
    <n v="114118.8484"/>
    <x v="0"/>
    <n v="2"/>
    <n v="114118.8484"/>
    <x v="2"/>
    <x v="0"/>
  </r>
  <r>
    <x v="0"/>
    <x v="4"/>
    <n v="44330"/>
    <x v="0"/>
    <x v="0"/>
    <x v="3"/>
    <x v="0"/>
    <x v="303"/>
    <s v="Xủi Cảo - Gói 200G"/>
    <s v="Gói"/>
    <n v="2"/>
    <n v="0.4"/>
    <d v="1899-12-30T04:48:00"/>
    <n v="44517"/>
    <s v="Quality issues"/>
    <n v="33181.640400000004"/>
    <x v="0"/>
    <n v="2"/>
    <n v="33181.640400000004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250"/>
    <s v="Quality issues"/>
    <n v="14532.8298"/>
    <x v="0"/>
    <n v="2"/>
    <n v="14532.8298"/>
    <x v="2"/>
    <x v="0"/>
  </r>
  <r>
    <x v="0"/>
    <x v="4"/>
    <n v="44330"/>
    <x v="3"/>
    <x v="0"/>
    <x v="12"/>
    <x v="0"/>
    <x v="30"/>
    <s v="Kim chi cải thảo cắt lát Bibigo Ông Kim's 500gr"/>
    <s v="Hộp"/>
    <n v="2"/>
    <n v="1"/>
    <d v="1899-12-30T12:00:00"/>
    <n v="44247"/>
    <s v="Quality issues"/>
    <n v="54936.926200000002"/>
    <x v="0"/>
    <n v="2"/>
    <n v="54936.926200000002"/>
    <x v="2"/>
    <x v="0"/>
  </r>
  <r>
    <x v="0"/>
    <x v="4"/>
    <n v="44330"/>
    <x v="3"/>
    <x v="0"/>
    <x v="12"/>
    <x v="0"/>
    <x v="68"/>
    <s v="Kimchi cải thảo-ngò Bibigo Ông Kim's 500gr"/>
    <s v="Hộp"/>
    <n v="2"/>
    <n v="1"/>
    <d v="1899-12-30T12:00:00"/>
    <n v="44250"/>
    <s v="Quality issues"/>
    <n v="58179.929199999999"/>
    <x v="0"/>
    <n v="2"/>
    <n v="58179.929199999999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250"/>
    <s v="Quality issues"/>
    <n v="28444.424299999999"/>
    <x v="0"/>
    <n v="1"/>
    <n v="28444.424299999999"/>
    <x v="2"/>
    <x v="0"/>
  </r>
  <r>
    <x v="0"/>
    <x v="4"/>
    <n v="44330"/>
    <x v="3"/>
    <x v="0"/>
    <x v="47"/>
    <x v="0"/>
    <x v="42"/>
    <s v="Dưa cải 200G"/>
    <s v="Gói"/>
    <n v="1"/>
    <n v="0.2"/>
    <d v="1899-12-30T04:48:00"/>
    <n v="44249"/>
    <s v="Quality issues"/>
    <n v="6680.4982"/>
    <x v="0"/>
    <n v="1"/>
    <n v="6680.4982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49"/>
    <s v="Quality issues"/>
    <n v="27468.463100000001"/>
    <x v="0"/>
    <n v="1"/>
    <n v="27468.463100000001"/>
    <x v="2"/>
    <x v="0"/>
  </r>
  <r>
    <x v="0"/>
    <x v="4"/>
    <n v="44330"/>
    <x v="3"/>
    <x v="0"/>
    <x v="47"/>
    <x v="0"/>
    <x v="42"/>
    <s v="Dưa cải 200G"/>
    <s v="Gói"/>
    <n v="1"/>
    <n v="0.2"/>
    <d v="1899-12-30T04:48:00"/>
    <n v="44247"/>
    <s v="Quality issues"/>
    <n v="6680.4982"/>
    <x v="0"/>
    <n v="1"/>
    <n v="6680.4982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42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248"/>
    <s v="Quality issues"/>
    <n v="14532.8298"/>
    <x v="0"/>
    <n v="2"/>
    <n v="14532.8298"/>
    <x v="2"/>
    <x v="0"/>
  </r>
  <r>
    <x v="0"/>
    <x v="4"/>
    <n v="44330"/>
    <x v="3"/>
    <x v="0"/>
    <x v="12"/>
    <x v="0"/>
    <x v="41"/>
    <s v="Kim chi cải thảo chay Bibigo Ông Kim's 500gr"/>
    <s v="Hộp"/>
    <n v="2"/>
    <n v="1"/>
    <d v="1899-12-30T12:00:00"/>
    <n v="44247"/>
    <s v="Quality issues"/>
    <n v="56888.848599999998"/>
    <x v="0"/>
    <n v="2"/>
    <n v="56888.848599999998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49"/>
    <s v="Quality issues"/>
    <n v="7266.4148999999998"/>
    <x v="0"/>
    <n v="1"/>
    <n v="7266.4148999999998"/>
    <x v="2"/>
    <x v="0"/>
  </r>
  <r>
    <x v="0"/>
    <x v="4"/>
    <n v="44330"/>
    <x v="7"/>
    <x v="0"/>
    <x v="30"/>
    <x v="0"/>
    <x v="158"/>
    <s v="B)고급면용1호 20KGBột mì loại 1"/>
    <s v="EA"/>
    <n v="1"/>
    <n v="20"/>
    <d v="1900-01-19T00:00:00"/>
    <n v="44482"/>
    <s v="Return &amp; exchanged from customers"/>
    <n v="410374.18780000001"/>
    <x v="0"/>
    <n v="1"/>
    <n v="410374.18780000001"/>
    <x v="2"/>
    <x v="0"/>
  </r>
  <r>
    <x v="0"/>
    <x v="4"/>
    <n v="44330"/>
    <x v="7"/>
    <x v="0"/>
    <x v="30"/>
    <x v="0"/>
    <x v="304"/>
    <s v="E)박력1등20KG(영)Bột mì làm bánh bông lan,bánh nướng"/>
    <s v="EA"/>
    <n v="1"/>
    <n v="20"/>
    <d v="1900-01-19T00:00:00"/>
    <n v="44461"/>
    <s v="Return &amp; exchanged from customers"/>
    <n v="367682.25"/>
    <x v="0"/>
    <n v="1"/>
    <n v="367682.25"/>
    <x v="2"/>
    <x v="0"/>
  </r>
  <r>
    <x v="0"/>
    <x v="4"/>
    <n v="44330"/>
    <x v="4"/>
    <x v="0"/>
    <x v="9"/>
    <x v="0"/>
    <x v="305"/>
    <s v="멸치 다시다 1KGDASIDA) Hạt nêm cá cơm"/>
    <s v="EA"/>
    <n v="36"/>
    <n v="360"/>
    <d v="1900-01-09T00:00:00"/>
    <n v="44196"/>
    <s v="Stocks Aging  in WH(low sale)"/>
    <n v="5054628.96"/>
    <x v="0"/>
    <n v="36"/>
    <n v="5054628.959999999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248"/>
    <s v="Quality issues"/>
    <n v="57059.424200000001"/>
    <x v="0"/>
    <n v="1"/>
    <n v="57059.424200000001"/>
    <x v="2"/>
    <x v="0"/>
  </r>
  <r>
    <x v="0"/>
    <x v="4"/>
    <n v="44330"/>
    <x v="0"/>
    <x v="0"/>
    <x v="18"/>
    <x v="0"/>
    <x v="114"/>
    <s v="Bánh Mandu Hải Sản CJ Bibigo - Gói 350G"/>
    <s v="Gói"/>
    <n v="2"/>
    <n v="0.7"/>
    <d v="1899-12-30T08:24:00"/>
    <n v="44527"/>
    <s v="Quality issues"/>
    <n v="57438.643799999998"/>
    <x v="0"/>
    <n v="2"/>
    <n v="57438.643799999998"/>
    <x v="2"/>
    <x v="0"/>
  </r>
  <r>
    <x v="0"/>
    <x v="4"/>
    <n v="44330"/>
    <x v="0"/>
    <x v="0"/>
    <x v="18"/>
    <x v="0"/>
    <x v="168"/>
    <s v="Bánh Mandu Thịt CJ Bibigo - Gói 175g"/>
    <s v="Gói"/>
    <n v="1"/>
    <n v="0.17499999999999999"/>
    <d v="1899-12-30T04:12:00"/>
    <n v="44526"/>
    <s v="Quality issues"/>
    <n v="13466.6446"/>
    <x v="0"/>
    <n v="1"/>
    <n v="13466.6446"/>
    <x v="2"/>
    <x v="0"/>
  </r>
  <r>
    <x v="0"/>
    <x v="4"/>
    <n v="44330"/>
    <x v="5"/>
    <x v="0"/>
    <x v="16"/>
    <x v="0"/>
    <x v="27"/>
    <s v="Bò viên ngon Cầu Tre 500gr"/>
    <s v="Gói"/>
    <n v="2"/>
    <n v="1"/>
    <d v="1899-12-30T12:00:00"/>
    <n v="44340"/>
    <s v="Quality issues"/>
    <n v="85310.791599999997"/>
    <x v="0"/>
    <n v="2"/>
    <n v="85310.791599999997"/>
    <x v="2"/>
    <x v="0"/>
  </r>
  <r>
    <x v="0"/>
    <x v="4"/>
    <n v="44330"/>
    <x v="5"/>
    <x v="0"/>
    <x v="1"/>
    <x v="0"/>
    <x v="78"/>
    <s v="Ohya Tokboki chả cá - Xốt Tok Tok Siêu Cay 180g"/>
    <s v="Khay"/>
    <n v="1"/>
    <n v="0.18"/>
    <d v="1899-12-30T04:19:12"/>
    <n v="44440"/>
    <s v="Quality issues"/>
    <n v="19415.173900000002"/>
    <x v="0"/>
    <n v="1"/>
    <n v="19415.173900000002"/>
    <x v="2"/>
    <x v="0"/>
  </r>
  <r>
    <x v="0"/>
    <x v="4"/>
    <n v="44330"/>
    <x v="0"/>
    <x v="0"/>
    <x v="18"/>
    <x v="0"/>
    <x v="168"/>
    <s v="Bánh Mandu Thịt CJ Bibigo – Gói 175g"/>
    <s v="Gói"/>
    <n v="1"/>
    <n v="0.17499999999999999"/>
    <d v="1899-12-30T04:12:00"/>
    <n v="44526"/>
    <s v="Quality issues"/>
    <n v="13466.6446"/>
    <x v="0"/>
    <n v="1"/>
    <n v="13466.6446"/>
    <x v="2"/>
    <x v="0"/>
  </r>
  <r>
    <x v="0"/>
    <x v="4"/>
    <n v="44330"/>
    <x v="5"/>
    <x v="0"/>
    <x v="16"/>
    <x v="0"/>
    <x v="46"/>
    <s v="Cá viên ngon Cầu Tre 500gr"/>
    <s v="Túi"/>
    <n v="4"/>
    <n v="2"/>
    <d v="1899-12-30T12:00:00"/>
    <n v="44469"/>
    <s v="Quality issues"/>
    <n v="89364.23"/>
    <x v="0"/>
    <n v="4"/>
    <n v="89364.23"/>
    <x v="2"/>
    <x v="0"/>
  </r>
  <r>
    <x v="0"/>
    <x v="4"/>
    <n v="44330"/>
    <x v="3"/>
    <x v="0"/>
    <x v="12"/>
    <x v="0"/>
    <x v="68"/>
    <s v="Bibigo Kimchi cải thảo - ngò 500gr"/>
    <s v="Hộp"/>
    <n v="1"/>
    <n v="0.5"/>
    <d v="1899-12-30T12:00:00"/>
    <n v="44241"/>
    <s v="Quality issues"/>
    <n v="29089.964599999999"/>
    <x v="0"/>
    <n v="1"/>
    <n v="29089.964599999999"/>
    <x v="2"/>
    <x v="0"/>
  </r>
  <r>
    <x v="0"/>
    <x v="4"/>
    <n v="44330"/>
    <x v="3"/>
    <x v="0"/>
    <x v="12"/>
    <x v="0"/>
    <x v="41"/>
    <s v="Bibigo Kimchi cải thảo chay 500gr"/>
    <s v="Hộp"/>
    <n v="3"/>
    <n v="1.5"/>
    <d v="1899-12-30T12:00:00"/>
    <n v="44249"/>
    <s v="Quality issues"/>
    <n v="85333.272899999996"/>
    <x v="0"/>
    <n v="3"/>
    <n v="85333.272899999996"/>
    <x v="2"/>
    <x v="0"/>
  </r>
  <r>
    <x v="0"/>
    <x v="4"/>
    <n v="44330"/>
    <x v="3"/>
    <x v="0"/>
    <x v="12"/>
    <x v="0"/>
    <x v="5"/>
    <s v="Bibigo Kimchi cải thảo cây 1kg"/>
    <s v="Túi"/>
    <n v="5"/>
    <n v="5"/>
    <d v="1899-12-31T00:00:00"/>
    <n v="44250"/>
    <s v="Quality issues"/>
    <n v="285297.12100000004"/>
    <x v="0"/>
    <n v="5"/>
    <n v="285297.12100000004"/>
    <x v="2"/>
    <x v="0"/>
  </r>
  <r>
    <x v="0"/>
    <x v="4"/>
    <n v="44330"/>
    <x v="3"/>
    <x v="0"/>
    <x v="12"/>
    <x v="0"/>
    <x v="30"/>
    <s v="Bibigo Kimchi cải thảo cắt lát 500gr"/>
    <s v="Hộp"/>
    <n v="5"/>
    <n v="2.5"/>
    <d v="1899-12-30T12:00:00"/>
    <n v="44250"/>
    <s v="Quality issues"/>
    <n v="137342.3155"/>
    <x v="0"/>
    <n v="5"/>
    <n v="137342.3155"/>
    <x v="2"/>
    <x v="0"/>
  </r>
  <r>
    <x v="0"/>
    <x v="4"/>
    <n v="44330"/>
    <x v="3"/>
    <x v="0"/>
    <x v="12"/>
    <x v="0"/>
    <x v="85"/>
    <s v="Bibigo Kimchi cải thảo cắt lát 100gr"/>
    <s v="Túi"/>
    <n v="1"/>
    <n v="0.1"/>
    <d v="1899-12-30T02:24:00"/>
    <n v="44249"/>
    <s v="Quality issues"/>
    <n v="7266.4148999999998"/>
    <x v="0"/>
    <n v="1"/>
    <n v="7266.4148999999998"/>
    <x v="2"/>
    <x v="0"/>
  </r>
  <r>
    <x v="0"/>
    <x v="4"/>
    <n v="44330"/>
    <x v="5"/>
    <x v="0"/>
    <x v="16"/>
    <x v="0"/>
    <x v="46"/>
    <s v="Cá viên ngon Cầu Tre 500gr"/>
    <s v="Túi"/>
    <n v="2"/>
    <n v="1"/>
    <d v="1899-12-30T12:00:00"/>
    <n v="44480"/>
    <s v="Quality issues"/>
    <n v="44682.114999999998"/>
    <x v="0"/>
    <n v="2"/>
    <n v="44682.114999999998"/>
    <x v="2"/>
    <x v="0"/>
  </r>
  <r>
    <x v="0"/>
    <x v="4"/>
    <n v="44330"/>
    <x v="3"/>
    <x v="0"/>
    <x v="12"/>
    <x v="0"/>
    <x v="292"/>
    <s v="Kim chi cải bắp Koryo Bibigo Ông Kim's 500gr"/>
    <s v="Túi"/>
    <n v="4"/>
    <n v="2"/>
    <d v="1899-12-30T12:00:00"/>
    <n v="44197"/>
    <s v="Stocks Aging  in WH(low sale)"/>
    <n v="103303.3232"/>
    <x v="0"/>
    <n v="4"/>
    <n v="103303.3232"/>
    <x v="2"/>
    <x v="0"/>
  </r>
  <r>
    <x v="0"/>
    <x v="4"/>
    <n v="44330"/>
    <x v="6"/>
    <x v="0"/>
    <x v="8"/>
    <x v="0"/>
    <x v="257"/>
    <s v="Rong biển ăn liền Bibigo vị BBQ 5gr x 3"/>
    <s v="Lốc"/>
    <n v="541"/>
    <n v="8.1150000000000002"/>
    <d v="1899-12-30T00:21:36"/>
    <n v="44203"/>
    <s v="Stocks Aging  in WH(low sale)"/>
    <n v="5737375.0054000001"/>
    <x v="0"/>
    <n v="520"/>
    <n v="5514667.2879999997"/>
    <x v="2"/>
    <x v="0"/>
  </r>
  <r>
    <x v="0"/>
    <x v="4"/>
    <n v="44330"/>
    <x v="3"/>
    <x v="0"/>
    <x v="12"/>
    <x v="0"/>
    <x v="292"/>
    <s v="Kim chi cải bắp Koryo Bibigo Ông Kim's 500gr"/>
    <s v="Túi"/>
    <n v="53"/>
    <n v="26.5"/>
    <d v="1899-12-30T12:00:00"/>
    <n v="44201"/>
    <s v="Stocks Aging  in WH(low sale)"/>
    <n v="1368769.0323999999"/>
    <x v="0"/>
    <n v="53"/>
    <n v="1368769.0323999999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50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47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52"/>
    <s v="Quality issues"/>
    <n v="7266.4148999999998"/>
    <x v="0"/>
    <n v="1"/>
    <n v="7266.4148999999998"/>
    <x v="2"/>
    <x v="0"/>
  </r>
  <r>
    <x v="0"/>
    <x v="4"/>
    <n v="44330"/>
    <x v="7"/>
    <x v="0"/>
    <x v="13"/>
    <x v="0"/>
    <x v="82"/>
    <s v="Bột chiên giòn 150g"/>
    <s v="Túi"/>
    <n v="1"/>
    <n v="0.15"/>
    <d v="1899-12-30T03:36:00"/>
    <n v="44452"/>
    <s v="Quality issues"/>
    <n v="4321.0626000000002"/>
    <x v="0"/>
    <n v="1"/>
    <n v="4321.0626000000002"/>
    <x v="2"/>
    <x v="0"/>
  </r>
  <r>
    <x v="0"/>
    <x v="4"/>
    <n v="44330"/>
    <x v="3"/>
    <x v="0"/>
    <x v="47"/>
    <x v="0"/>
    <x v="42"/>
    <s v="Dưa cải 200G"/>
    <s v="Gói"/>
    <n v="2"/>
    <n v="0.4"/>
    <d v="1899-12-30T04:48:00"/>
    <n v="44274"/>
    <s v="Quality issues"/>
    <n v="13360.9964"/>
    <x v="0"/>
    <n v="2"/>
    <n v="13360.9964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63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73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76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48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76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258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272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31"/>
    <s v="Kimchi cải thảo ngò Bibigo Ông Kim's 100gr"/>
    <s v="Túi"/>
    <n v="1"/>
    <n v="0.1"/>
    <d v="1899-12-30T02:24:00"/>
    <n v="44274"/>
    <s v="Quality issues"/>
    <n v="7174.1684999999998"/>
    <x v="0"/>
    <n v="1"/>
    <n v="7174.1684999999998"/>
    <x v="2"/>
    <x v="0"/>
  </r>
  <r>
    <x v="0"/>
    <x v="4"/>
    <n v="44330"/>
    <x v="1"/>
    <x v="0"/>
    <x v="31"/>
    <x v="0"/>
    <x v="306"/>
    <s v="Cầu Tre Pure bánh tráng gỏi cuốn 280g"/>
    <s v="Gói"/>
    <n v="5"/>
    <n v="1.4"/>
    <d v="1899-12-30T06:43:12"/>
    <n v="44530"/>
    <s v="Quality issues"/>
    <n v="63404.659499999994"/>
    <x v="0"/>
    <n v="5"/>
    <n v="63404.659499999994"/>
    <x v="2"/>
    <x v="0"/>
  </r>
  <r>
    <x v="0"/>
    <x v="4"/>
    <n v="44330"/>
    <x v="0"/>
    <x v="0"/>
    <x v="18"/>
    <x v="0"/>
    <x v="168"/>
    <s v="Bánh Mandu Thịt CJ Bibigo - Gói 175g"/>
    <s v="Gói"/>
    <n v="1"/>
    <n v="0.17499999999999999"/>
    <d v="1899-12-30T04:12:00"/>
    <n v="44533"/>
    <s v="Quality issues"/>
    <n v="13466.6446"/>
    <x v="0"/>
    <n v="1"/>
    <n v="13466.6446"/>
    <x v="2"/>
    <x v="0"/>
  </r>
  <r>
    <x v="0"/>
    <x v="4"/>
    <n v="44330"/>
    <x v="0"/>
    <x v="0"/>
    <x v="18"/>
    <x v="0"/>
    <x v="88"/>
    <s v="Bánh Mandu Thịt CJ Bibigo - Gói 350G"/>
    <s v="Gói"/>
    <n v="2"/>
    <n v="0.7"/>
    <d v="1899-12-30T08:24:00"/>
    <n v="44542"/>
    <s v="Quality issues"/>
    <n v="54826.671799999996"/>
    <x v="0"/>
    <n v="2"/>
    <n v="54826.671799999996"/>
    <x v="2"/>
    <x v="0"/>
  </r>
  <r>
    <x v="0"/>
    <x v="4"/>
    <n v="44330"/>
    <x v="0"/>
    <x v="0"/>
    <x v="18"/>
    <x v="0"/>
    <x v="111"/>
    <s v="Bánh Mandu Thịt và Bắp CJ Bibigo- Gói 350g"/>
    <s v="Gói"/>
    <n v="1"/>
    <n v="0.35"/>
    <d v="1899-12-30T08:24:00"/>
    <m/>
    <s v="Quality issues"/>
    <n v="28325.119900000002"/>
    <x v="0"/>
    <n v="1"/>
    <n v="28325.119900000002"/>
    <x v="2"/>
    <x v="0"/>
  </r>
  <r>
    <x v="0"/>
    <x v="4"/>
    <n v="44330"/>
    <x v="3"/>
    <x v="0"/>
    <x v="12"/>
    <x v="0"/>
    <x v="53"/>
    <s v="Kim chi cải thảo cắt lát Bibigo Ông Kim's 5Kg"/>
    <s v="Bịch"/>
    <n v="1"/>
    <n v="5"/>
    <d v="1900-01-04T00:00:00"/>
    <n v="44258"/>
    <s v="Quality issues"/>
    <n v="152035.70750000002"/>
    <x v="0"/>
    <n v="1"/>
    <n v="152035.70750000002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75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55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30"/>
    <s v="Kim chi cải thảo cắt lát Bibigo Ông Kim's 500gr"/>
    <s v="Hộp"/>
    <n v="3"/>
    <n v="1.5"/>
    <d v="1899-12-30T12:00:00"/>
    <n v="44272"/>
    <s v="Quality issues"/>
    <n v="82405.38930000001"/>
    <x v="0"/>
    <n v="3"/>
    <n v="82405.38930000001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73"/>
    <s v="Quality issues"/>
    <n v="27468.463100000001"/>
    <x v="0"/>
    <n v="1"/>
    <n v="27468.463100000001"/>
    <x v="2"/>
    <x v="0"/>
  </r>
  <r>
    <x v="0"/>
    <x v="4"/>
    <n v="44330"/>
    <x v="0"/>
    <x v="0"/>
    <x v="3"/>
    <x v="0"/>
    <x v="307"/>
    <s v="Bánh Tiểu Long nhân súp kiểu Thượng Hải nhân súp &amp; thịt- Gói 300g"/>
    <s v="Gói"/>
    <n v="2"/>
    <n v="0.6"/>
    <d v="1899-12-30T07:12:00"/>
    <n v="44579"/>
    <s v="Quality issues"/>
    <n v="49997.010600000001"/>
    <x v="0"/>
    <n v="2"/>
    <n v="49997.010600000001"/>
    <x v="2"/>
    <x v="0"/>
  </r>
  <r>
    <x v="0"/>
    <x v="4"/>
    <n v="44330"/>
    <x v="0"/>
    <x v="0"/>
    <x v="18"/>
    <x v="0"/>
    <x v="168"/>
    <s v="Bánh Mandu Thịt CJ Bibigo - Gói 175g"/>
    <s v="Gói"/>
    <n v="1"/>
    <n v="0.17499999999999999"/>
    <d v="1899-12-30T04:12:00"/>
    <n v="44532"/>
    <s v="Quality issues"/>
    <n v="13466.6446"/>
    <x v="0"/>
    <n v="1"/>
    <n v="13466.6446"/>
    <x v="2"/>
    <x v="0"/>
  </r>
  <r>
    <x v="0"/>
    <x v="4"/>
    <n v="44330"/>
    <x v="0"/>
    <x v="0"/>
    <x v="18"/>
    <x v="0"/>
    <x v="88"/>
    <s v="Bánh Mandu Thịt CJ Bibigo - Gói 350G"/>
    <s v="Gói"/>
    <n v="1"/>
    <n v="0.35"/>
    <d v="1899-12-30T08:24:00"/>
    <n v="44532"/>
    <s v="Quality issues"/>
    <n v="27413.335899999998"/>
    <x v="0"/>
    <n v="1"/>
    <n v="27413.335899999998"/>
    <x v="2"/>
    <x v="0"/>
  </r>
  <r>
    <x v="0"/>
    <x v="4"/>
    <n v="44330"/>
    <x v="1"/>
    <x v="0"/>
    <x v="41"/>
    <x v="0"/>
    <x v="308"/>
    <s v="햇반 발아 210G 3번들HETBAHN)Cơm ăn liền(gạo mầm)"/>
    <s v="EA"/>
    <n v="59"/>
    <n v="37.17"/>
    <d v="1899-12-30T15:07:12"/>
    <n v="44205"/>
    <s v="Stocks Aging  in WH(low sale)"/>
    <n v="2765221.145"/>
    <x v="0"/>
    <n v="59"/>
    <n v="2765221.145"/>
    <x v="2"/>
    <x v="0"/>
  </r>
  <r>
    <x v="0"/>
    <x v="4"/>
    <n v="44330"/>
    <x v="7"/>
    <x v="0"/>
    <x v="30"/>
    <x v="0"/>
    <x v="309"/>
    <s v="B)치킨전용믹스 순한맛 5KGBEKSUL)Bột gà rán"/>
    <s v="EA"/>
    <n v="1"/>
    <n v="5"/>
    <d v="1900-01-04T00:00:00"/>
    <n v="44494"/>
    <s v="Quality issues"/>
    <n v="182455.55119999999"/>
    <x v="0"/>
    <n v="1"/>
    <n v="182455.55119999999"/>
    <x v="2"/>
    <x v="0"/>
  </r>
  <r>
    <x v="0"/>
    <x v="4"/>
    <n v="44330"/>
    <x v="0"/>
    <x v="0"/>
    <x v="18"/>
    <x v="0"/>
    <x v="310"/>
    <s v="비비고 왕교자 420GBIBIGO Bánh xếp mỏng"/>
    <s v="EA"/>
    <n v="1"/>
    <n v="0.42"/>
    <d v="1899-12-30T10:04:48"/>
    <n v="44423"/>
    <s v="Quality issues"/>
    <n v="31505.011200000001"/>
    <x v="0"/>
    <n v="1"/>
    <n v="31505.011200000001"/>
    <x v="2"/>
    <x v="0"/>
  </r>
  <r>
    <x v="0"/>
    <x v="4"/>
    <n v="44330"/>
    <x v="1"/>
    <x v="0"/>
    <x v="31"/>
    <x v="0"/>
    <x v="306"/>
    <s v="Cầu Tre Pure bánh tráng gỏi cuốn 280g"/>
    <s v="Gói"/>
    <n v="3"/>
    <n v="0.84"/>
    <d v="1899-12-30T06:43:12"/>
    <n v="44558"/>
    <s v="Quality issues"/>
    <n v="38042.795700000002"/>
    <x v="0"/>
    <n v="3"/>
    <n v="38042.795700000002"/>
    <x v="2"/>
    <x v="0"/>
  </r>
  <r>
    <x v="0"/>
    <x v="4"/>
    <n v="44330"/>
    <x v="3"/>
    <x v="0"/>
    <x v="47"/>
    <x v="0"/>
    <x v="42"/>
    <s v="Dưa cải Bibigo 200G"/>
    <s v="Gói"/>
    <n v="1"/>
    <n v="0.2"/>
    <d v="1899-12-30T04:48:00"/>
    <n v="44262"/>
    <s v="Quality issues"/>
    <n v="6680.4982"/>
    <x v="0"/>
    <n v="1"/>
    <n v="6680.4982"/>
    <x v="2"/>
    <x v="0"/>
  </r>
  <r>
    <x v="0"/>
    <x v="4"/>
    <n v="44330"/>
    <x v="3"/>
    <x v="0"/>
    <x v="12"/>
    <x v="0"/>
    <x v="41"/>
    <s v="Bibigo Kimchi cải thảo chay 500gr"/>
    <s v="Hộp"/>
    <n v="1"/>
    <n v="0.5"/>
    <d v="1899-12-30T12:00:00"/>
    <n v="44276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68"/>
    <s v="Bibigo Kimchi cải thảo - ngò 500gr"/>
    <s v="Hộp"/>
    <n v="1"/>
    <n v="0.5"/>
    <d v="1899-12-30T12:00:00"/>
    <n v="44279"/>
    <s v="Quality issues"/>
    <n v="29089.964599999999"/>
    <x v="0"/>
    <n v="1"/>
    <n v="29089.964599999999"/>
    <x v="2"/>
    <x v="0"/>
  </r>
  <r>
    <x v="0"/>
    <x v="4"/>
    <n v="44330"/>
    <x v="3"/>
    <x v="0"/>
    <x v="12"/>
    <x v="0"/>
    <x v="85"/>
    <s v="Bibigo Kimchi cải thảo cắt lát 100gr"/>
    <s v="Túi"/>
    <n v="4"/>
    <n v="0.4"/>
    <d v="1899-12-30T02:24:00"/>
    <n v="44277"/>
    <s v="Quality issues"/>
    <n v="29065.659599999999"/>
    <x v="0"/>
    <n v="4"/>
    <n v="29065.659599999999"/>
    <x v="2"/>
    <x v="0"/>
  </r>
  <r>
    <x v="0"/>
    <x v="4"/>
    <n v="44330"/>
    <x v="3"/>
    <x v="0"/>
    <x v="12"/>
    <x v="0"/>
    <x v="30"/>
    <s v="Bibigo Kimchi cải thảo cắt lát 500gr"/>
    <s v="Hộp"/>
    <n v="3"/>
    <n v="1.5"/>
    <d v="1899-12-30T12:00:00"/>
    <n v="44275"/>
    <s v="Quality issues"/>
    <n v="82405.38930000001"/>
    <x v="0"/>
    <n v="3"/>
    <n v="82405.38930000001"/>
    <x v="2"/>
    <x v="0"/>
  </r>
  <r>
    <x v="0"/>
    <x v="4"/>
    <n v="44330"/>
    <x v="3"/>
    <x v="0"/>
    <x v="12"/>
    <x v="0"/>
    <x v="30"/>
    <s v="Bibigo Kimchi cải thảo cắt lát 500gr"/>
    <s v="Hộp"/>
    <n v="2"/>
    <n v="1"/>
    <d v="1899-12-30T12:00:00"/>
    <n v="44276"/>
    <s v="Quality issues"/>
    <n v="54936.926200000002"/>
    <x v="0"/>
    <n v="2"/>
    <n v="54936.926200000002"/>
    <x v="2"/>
    <x v="0"/>
  </r>
  <r>
    <x v="0"/>
    <x v="4"/>
    <n v="44330"/>
    <x v="3"/>
    <x v="0"/>
    <x v="12"/>
    <x v="0"/>
    <x v="30"/>
    <s v="Bibigo Kimchi cải thảo cắt lát 500gr"/>
    <s v="Hộp"/>
    <n v="3"/>
    <n v="1.5"/>
    <d v="1899-12-30T12:00:00"/>
    <n v="44279"/>
    <s v="Quality issues"/>
    <n v="82405.38930000001"/>
    <x v="0"/>
    <n v="3"/>
    <n v="82405.38930000001"/>
    <x v="2"/>
    <x v="0"/>
  </r>
  <r>
    <x v="0"/>
    <x v="4"/>
    <n v="44330"/>
    <x v="0"/>
    <x v="0"/>
    <x v="18"/>
    <x v="0"/>
    <x v="114"/>
    <s v="Bánh Mandu Hải Sản CJ Bibigo – Gói 350g"/>
    <s v="Gói"/>
    <n v="1"/>
    <n v="0.35"/>
    <d v="1899-12-30T08:24:00"/>
    <n v="44567"/>
    <s v="Quality issues"/>
    <n v="28719.321899999999"/>
    <x v="0"/>
    <n v="1"/>
    <n v="28719.321899999999"/>
    <x v="2"/>
    <x v="0"/>
  </r>
  <r>
    <x v="0"/>
    <x v="4"/>
    <n v="44330"/>
    <x v="5"/>
    <x v="0"/>
    <x v="16"/>
    <x v="0"/>
    <x v="46"/>
    <s v="Cá viên ngon Cầu Tre 500gr"/>
    <s v="Túi"/>
    <n v="6"/>
    <n v="3"/>
    <d v="1899-12-30T12:00:00"/>
    <n v="44569"/>
    <s v="Quality issues"/>
    <n v="134046.345"/>
    <x v="0"/>
    <n v="6"/>
    <n v="134046.345"/>
    <x v="2"/>
    <x v="0"/>
  </r>
  <r>
    <x v="0"/>
    <x v="4"/>
    <n v="44330"/>
    <x v="5"/>
    <x v="0"/>
    <x v="16"/>
    <x v="0"/>
    <x v="46"/>
    <s v="Cá viên ngon Cầu Tre 500gr"/>
    <s v="Túi"/>
    <n v="9"/>
    <n v="4.5"/>
    <d v="1899-12-30T12:00:00"/>
    <n v="44577"/>
    <s v="Quality issues"/>
    <n v="201069.51749999999"/>
    <x v="0"/>
    <n v="9"/>
    <n v="201069.51749999999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80"/>
    <s v="Quality issues"/>
    <n v="27468.463100000001"/>
    <x v="0"/>
    <n v="1"/>
    <n v="27468.463100000001"/>
    <x v="2"/>
    <x v="0"/>
  </r>
  <r>
    <x v="0"/>
    <x v="4"/>
    <n v="44330"/>
    <x v="5"/>
    <x v="0"/>
    <x v="11"/>
    <x v="0"/>
    <x v="26"/>
    <s v="Chả cá viên 500g"/>
    <s v="Gói"/>
    <n v="1"/>
    <n v="0.5"/>
    <d v="1899-12-30T12:00:00"/>
    <n v="44281"/>
    <s v="Quality issues"/>
    <n v="35585.228900000002"/>
    <x v="0"/>
    <n v="1"/>
    <n v="35585.228900000002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287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31"/>
    <s v="Kimchi cải thảo ngò Bibigo Ông Kim's 100gr"/>
    <s v="Túi"/>
    <n v="1"/>
    <n v="0.1"/>
    <d v="1899-12-30T02:24:00"/>
    <n v="44287"/>
    <s v="Quality issues"/>
    <n v="7174.1684999999998"/>
    <x v="0"/>
    <n v="1"/>
    <n v="7174.1684999999998"/>
    <x v="2"/>
    <x v="0"/>
  </r>
  <r>
    <x v="0"/>
    <x v="4"/>
    <n v="44330"/>
    <x v="3"/>
    <x v="0"/>
    <x v="12"/>
    <x v="0"/>
    <x v="68"/>
    <s v="Kimchi cải thảo-ngò Bibigo Ông Kim's 500gr"/>
    <s v="Hộp"/>
    <n v="1"/>
    <n v="0.5"/>
    <d v="1899-12-30T12:00:00"/>
    <n v="44287"/>
    <s v="Quality issues"/>
    <n v="29089.964599999999"/>
    <x v="0"/>
    <n v="1"/>
    <n v="29089.964599999999"/>
    <x v="2"/>
    <x v="0"/>
  </r>
  <r>
    <x v="0"/>
    <x v="4"/>
    <n v="44330"/>
    <x v="3"/>
    <x v="0"/>
    <x v="12"/>
    <x v="0"/>
    <x v="31"/>
    <s v="Kimchi cải thảo ngò Bibigo Ông Kim's 100gr"/>
    <s v="Túi"/>
    <n v="1"/>
    <n v="0.1"/>
    <d v="1899-12-30T02:24:00"/>
    <n v="44288"/>
    <s v="Quality issues"/>
    <n v="7174.1684999999998"/>
    <x v="0"/>
    <n v="1"/>
    <n v="7174.1684999999998"/>
    <x v="2"/>
    <x v="0"/>
  </r>
  <r>
    <x v="0"/>
    <x v="4"/>
    <n v="44330"/>
    <x v="0"/>
    <x v="0"/>
    <x v="18"/>
    <x v="0"/>
    <x v="129"/>
    <s v="Bánh Mandu Hải sản CJ Bibigo - Gói 175g"/>
    <s v="Gói"/>
    <n v="1"/>
    <n v="0.17499999999999999"/>
    <d v="1899-12-30T04:12:00"/>
    <n v="44527"/>
    <s v="Quality issues"/>
    <n v="15170.0507"/>
    <x v="0"/>
    <n v="1"/>
    <n v="15170.0507"/>
    <x v="2"/>
    <x v="0"/>
  </r>
  <r>
    <x v="0"/>
    <x v="4"/>
    <n v="44330"/>
    <x v="0"/>
    <x v="0"/>
    <x v="0"/>
    <x v="0"/>
    <x v="302"/>
    <s v="Nem Real thịt- Gói 400g"/>
    <s v="Gói"/>
    <n v="1"/>
    <n v="0.4"/>
    <d v="1899-12-30T09:36:00"/>
    <n v="44580"/>
    <s v="Quality issues"/>
    <n v="34100.258900000001"/>
    <x v="0"/>
    <n v="1"/>
    <n v="34100.258900000001"/>
    <x v="2"/>
    <x v="0"/>
  </r>
  <r>
    <x v="0"/>
    <x v="4"/>
    <n v="44330"/>
    <x v="5"/>
    <x v="0"/>
    <x v="11"/>
    <x v="0"/>
    <x v="26"/>
    <s v="Chả cá viên 500g"/>
    <s v="Gói"/>
    <n v="1"/>
    <n v="0.5"/>
    <d v="1899-12-30T12:00:00"/>
    <n v="44281"/>
    <s v="Quality issues"/>
    <n v="35585.228900000002"/>
    <x v="0"/>
    <n v="1"/>
    <n v="35585.228900000002"/>
    <x v="2"/>
    <x v="0"/>
  </r>
  <r>
    <x v="0"/>
    <x v="4"/>
    <n v="44330"/>
    <x v="3"/>
    <x v="0"/>
    <x v="47"/>
    <x v="0"/>
    <x v="42"/>
    <s v="Dưa cải 200G"/>
    <s v="Gói"/>
    <n v="1"/>
    <n v="0.2"/>
    <d v="1899-12-30T04:48:00"/>
    <n v="44284"/>
    <s v="Quality issues"/>
    <n v="6680.4982"/>
    <x v="0"/>
    <n v="1"/>
    <n v="6680.4982"/>
    <x v="2"/>
    <x v="0"/>
  </r>
  <r>
    <x v="0"/>
    <x v="4"/>
    <n v="44330"/>
    <x v="5"/>
    <x v="0"/>
    <x v="11"/>
    <x v="0"/>
    <x v="26"/>
    <s v="Chả cá viên 500g"/>
    <s v="Gói"/>
    <n v="1"/>
    <n v="0.5"/>
    <d v="1899-12-30T12:00:00"/>
    <n v="44281"/>
    <s v="Quality issues"/>
    <n v="35585.228900000002"/>
    <x v="0"/>
    <n v="1"/>
    <n v="35585.228900000002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291"/>
    <s v="Quality issues"/>
    <n v="14532.8298"/>
    <x v="0"/>
    <n v="2"/>
    <n v="14532.8298"/>
    <x v="2"/>
    <x v="0"/>
  </r>
  <r>
    <x v="0"/>
    <x v="4"/>
    <n v="44330"/>
    <x v="3"/>
    <x v="0"/>
    <x v="12"/>
    <x v="0"/>
    <x v="30"/>
    <s v="Kim chi cải thảo cắt lát Bibigo Ông Kim's 500gr"/>
    <s v="Hộp"/>
    <n v="4"/>
    <n v="2"/>
    <d v="1899-12-30T12:00:00"/>
    <n v="44291"/>
    <s v="Quality issues"/>
    <n v="109873.8524"/>
    <x v="0"/>
    <n v="4"/>
    <n v="109873.8524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293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293"/>
    <s v="Quality issues"/>
    <n v="14532.8298"/>
    <x v="0"/>
    <n v="2"/>
    <n v="14532.8298"/>
    <x v="2"/>
    <x v="0"/>
  </r>
  <r>
    <x v="0"/>
    <x v="4"/>
    <n v="44330"/>
    <x v="1"/>
    <x v="0"/>
    <x v="1"/>
    <x v="0"/>
    <x v="311"/>
    <s v="E)햇반컵반 미역국밥 167G/상온Cơm hộp ăn liền- canh rong biển"/>
    <s v="EA"/>
    <n v="54"/>
    <n v="162.32399999999998"/>
    <d v="1900-01-02T00:08:38"/>
    <n v="44237"/>
    <s v="Stocks Aging  in WH(low sale)"/>
    <n v="2230479.5471999999"/>
    <x v="0"/>
    <n v="54"/>
    <n v="2230479.5471999999"/>
    <x v="2"/>
    <x v="0"/>
  </r>
  <r>
    <x v="0"/>
    <x v="4"/>
    <n v="44330"/>
    <x v="0"/>
    <x v="0"/>
    <x v="0"/>
    <x v="0"/>
    <x v="312"/>
    <s v="New E)CJ 밀당의고수 김말이 850gCJ Rong biển cuộn miếng"/>
    <s v="EA"/>
    <n v="24"/>
    <n v="122.4"/>
    <d v="1900-01-04T02:24:00"/>
    <n v="44240"/>
    <s v="Stocks Aging  in WH(low sale)"/>
    <n v="3808707.5543999998"/>
    <x v="0"/>
    <n v="24"/>
    <n v="3808707.5544000007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303"/>
    <s v="Quality issues"/>
    <n v="57059.424200000001"/>
    <x v="0"/>
    <n v="1"/>
    <n v="57059.424200000001"/>
    <x v="2"/>
    <x v="0"/>
  </r>
  <r>
    <x v="0"/>
    <x v="4"/>
    <n v="44330"/>
    <x v="0"/>
    <x v="0"/>
    <x v="18"/>
    <x v="0"/>
    <x v="62"/>
    <s v="Bánh Mandu Thịt CJ Bibigo - gói 1.505kg- Thùng 9,03 kg"/>
    <s v="Gói"/>
    <n v="45"/>
    <n v="67.724999999999994"/>
    <d v="1899-12-31T12:07:12"/>
    <n v="44531"/>
    <s v="Return &amp; exchanged from customers"/>
    <n v="4864515.0389999999"/>
    <x v="0"/>
    <n v="45"/>
    <n v="4864515.0389999999"/>
    <x v="2"/>
    <x v="0"/>
  </r>
  <r>
    <x v="0"/>
    <x v="4"/>
    <n v="44330"/>
    <x v="5"/>
    <x v="0"/>
    <x v="16"/>
    <x v="0"/>
    <x v="27"/>
    <s v="Bò viên ngon Cầu Tre 500gr"/>
    <s v="Gói"/>
    <n v="2"/>
    <n v="1"/>
    <d v="1899-12-30T12:00:00"/>
    <n v="44583"/>
    <s v="Quality issues"/>
    <n v="85310.791599999997"/>
    <x v="0"/>
    <n v="2"/>
    <n v="85310.791599999997"/>
    <x v="2"/>
    <x v="0"/>
  </r>
  <r>
    <x v="0"/>
    <x v="4"/>
    <n v="44330"/>
    <x v="3"/>
    <x v="0"/>
    <x v="12"/>
    <x v="0"/>
    <x v="41"/>
    <s v="Bibigo Kimchi cải thảo chay 500gr"/>
    <s v="Hộp"/>
    <n v="3"/>
    <n v="1.5"/>
    <d v="1899-12-30T12:00:00"/>
    <n v="44293"/>
    <s v="Quality issues"/>
    <n v="85333.272899999996"/>
    <x v="0"/>
    <n v="3"/>
    <n v="85333.272899999996"/>
    <x v="2"/>
    <x v="0"/>
  </r>
  <r>
    <x v="0"/>
    <x v="4"/>
    <n v="44330"/>
    <x v="3"/>
    <x v="0"/>
    <x v="12"/>
    <x v="0"/>
    <x v="31"/>
    <s v="Bibigo Kimchi cải thảo - ngò 100gr"/>
    <s v="Túi"/>
    <n v="1"/>
    <n v="0.1"/>
    <d v="1899-12-30T02:24:00"/>
    <n v="44291"/>
    <s v="Quality issues"/>
    <n v="7174.1684999999998"/>
    <x v="0"/>
    <n v="1"/>
    <n v="7174.1684999999998"/>
    <x v="2"/>
    <x v="0"/>
  </r>
  <r>
    <x v="0"/>
    <x v="4"/>
    <n v="44330"/>
    <x v="6"/>
    <x v="0"/>
    <x v="8"/>
    <x v="0"/>
    <x v="11"/>
    <s v="Snack rong biển nướng Bibigo vị Kimchi 10gr"/>
    <s v="Túi"/>
    <n v="7"/>
    <n v="7.0000000000000007E-2"/>
    <d v="1899-12-30T00:14:24"/>
    <n v="44259"/>
    <s v="Stocks Aging  in WH(low sale)"/>
    <n v="79469.9997"/>
    <x v="0"/>
    <n v="7"/>
    <n v="79469.9997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309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308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68"/>
    <s v="Kimchi cải thảo-ngò Bibigo Ông Kim's 500gr"/>
    <s v="Hộp"/>
    <n v="1"/>
    <n v="0.5"/>
    <d v="1899-12-30T12:00:00"/>
    <n v="44310"/>
    <s v="Quality issues"/>
    <n v="29089.964599999999"/>
    <x v="0"/>
    <n v="1"/>
    <n v="29089.964599999999"/>
    <x v="2"/>
    <x v="0"/>
  </r>
  <r>
    <x v="0"/>
    <x v="4"/>
    <n v="44330"/>
    <x v="1"/>
    <x v="0"/>
    <x v="29"/>
    <x v="0"/>
    <x v="117"/>
    <s v="Cầu Tre Pure bún tươi 150g"/>
    <s v="Gói"/>
    <n v="1"/>
    <n v="0.15"/>
    <d v="1899-12-30T03:36:00"/>
    <n v="44551"/>
    <s v="Quality issues"/>
    <n v="4796.5344000000005"/>
    <x v="0"/>
    <n v="1"/>
    <n v="4796.5344000000005"/>
    <x v="2"/>
    <x v="0"/>
  </r>
  <r>
    <x v="0"/>
    <x v="4"/>
    <n v="44330"/>
    <x v="0"/>
    <x v="0"/>
    <x v="18"/>
    <x v="0"/>
    <x v="129"/>
    <s v="Bánh Mandu Hải sản CJ Bibigo - Gói 175g"/>
    <s v="Gói"/>
    <n v="1"/>
    <n v="0.17499999999999999"/>
    <d v="1899-12-30T04:12:00"/>
    <n v="44566"/>
    <s v="Quality issues"/>
    <n v="15170.0507"/>
    <x v="0"/>
    <n v="1"/>
    <n v="15170.0507"/>
    <x v="2"/>
    <x v="0"/>
  </r>
  <r>
    <x v="0"/>
    <x v="4"/>
    <n v="44330"/>
    <x v="0"/>
    <x v="0"/>
    <x v="0"/>
    <x v="0"/>
    <x v="298"/>
    <s v="Chả GIÒ REAL hải sản- gói 400g"/>
    <s v="Gói"/>
    <n v="1"/>
    <n v="0.4"/>
    <d v="1899-12-30T09:36:00"/>
    <n v="44601"/>
    <s v="Quality issues"/>
    <n v="40300.361499999999"/>
    <x v="0"/>
    <n v="1"/>
    <n v="40300.361499999999"/>
    <x v="2"/>
    <x v="0"/>
  </r>
  <r>
    <x v="0"/>
    <x v="4"/>
    <n v="44330"/>
    <x v="5"/>
    <x v="0"/>
    <x v="16"/>
    <x v="0"/>
    <x v="46"/>
    <s v="Cá viên ngon Cầu Tre 500gr"/>
    <s v="Gói"/>
    <n v="50"/>
    <n v="25"/>
    <d v="1899-12-30T12:00:00"/>
    <n v="44226"/>
    <s v="Quality issues"/>
    <n v="1117052.875"/>
    <x v="0"/>
    <n v="50"/>
    <n v="1117052.875"/>
    <x v="2"/>
    <x v="0"/>
  </r>
  <r>
    <x v="0"/>
    <x v="4"/>
    <n v="44330"/>
    <x v="3"/>
    <x v="0"/>
    <x v="47"/>
    <x v="0"/>
    <x v="42"/>
    <s v="Dưa cải 200G"/>
    <s v="Gói"/>
    <n v="1"/>
    <n v="0.2"/>
    <d v="1899-12-30T04:48:00"/>
    <n v="44310"/>
    <s v="Quality issues"/>
    <n v="6680.4982"/>
    <x v="0"/>
    <n v="1"/>
    <n v="6680.4982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319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317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318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68"/>
    <s v="Kimchi cải thảo-ngò Bibigo Ông Kim's 500gr"/>
    <s v="Hộp"/>
    <n v="2"/>
    <n v="1"/>
    <d v="1899-12-30T12:00:00"/>
    <n v="44317"/>
    <s v="Quality issues"/>
    <n v="58179.929199999999"/>
    <x v="0"/>
    <n v="2"/>
    <n v="58179.929199999999"/>
    <x v="2"/>
    <x v="0"/>
  </r>
  <r>
    <x v="0"/>
    <x v="4"/>
    <n v="44330"/>
    <x v="1"/>
    <x v="0"/>
    <x v="29"/>
    <x v="0"/>
    <x v="218"/>
    <s v="Cầu Tre Pure bún tươi 300g"/>
    <s v="Gói"/>
    <n v="1"/>
    <n v="0.3"/>
    <d v="1899-12-30T07:12:00"/>
    <n v="44576"/>
    <s v="Quality issues"/>
    <n v="9187.5275000000001"/>
    <x v="0"/>
    <n v="1"/>
    <n v="9187.5275000000001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319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310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310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320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68"/>
    <s v="Kimchi cải thảo-ngò Bibigo Ông Kim's 500gr"/>
    <s v="Hộp"/>
    <n v="1"/>
    <n v="0.5"/>
    <d v="1899-12-30T12:00:00"/>
    <n v="44321"/>
    <s v="Quality issues"/>
    <n v="29089.964599999999"/>
    <x v="0"/>
    <n v="1"/>
    <n v="29089.964599999999"/>
    <x v="2"/>
    <x v="0"/>
  </r>
  <r>
    <x v="0"/>
    <x v="4"/>
    <n v="44330"/>
    <x v="0"/>
    <x v="0"/>
    <x v="3"/>
    <x v="0"/>
    <x v="230"/>
    <s v="Há Cảo Thượng Hạng - Gói 300G"/>
    <s v="Gói"/>
    <n v="1"/>
    <n v="0.3"/>
    <d v="1899-12-30T07:12:00"/>
    <n v="44624"/>
    <s v="Quality issues"/>
    <n v="38549.183400000002"/>
    <x v="0"/>
    <n v="1"/>
    <n v="38549.183400000002"/>
    <x v="2"/>
    <x v="0"/>
  </r>
  <r>
    <x v="0"/>
    <x v="4"/>
    <n v="44330"/>
    <x v="3"/>
    <x v="0"/>
    <x v="12"/>
    <x v="0"/>
    <x v="85"/>
    <s v="Kimchi cải thảo cắt lát Bibigo Ông Kim's 100gr"/>
    <s v="Túi"/>
    <n v="4"/>
    <n v="0.4"/>
    <d v="1899-12-30T02:24:00"/>
    <n v="44328"/>
    <s v="Quality issues"/>
    <n v="29065.659599999999"/>
    <x v="0"/>
    <n v="4"/>
    <n v="29065.659599999999"/>
    <x v="2"/>
    <x v="0"/>
  </r>
  <r>
    <x v="0"/>
    <x v="4"/>
    <n v="44330"/>
    <x v="3"/>
    <x v="0"/>
    <x v="12"/>
    <x v="0"/>
    <x v="30"/>
    <s v="Kim chi cải thảo cắt lát Bibigo Ông Kim's 500gr"/>
    <s v="Hộp"/>
    <n v="2"/>
    <n v="1"/>
    <d v="1899-12-30T12:00:00"/>
    <n v="44324"/>
    <s v="Quality issues"/>
    <n v="54936.926200000002"/>
    <x v="0"/>
    <n v="2"/>
    <n v="54936.926200000002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330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333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31"/>
    <s v="Kimchi cải thảo ngò Bibigo Ông Kim's 100gr"/>
    <s v="Túi"/>
    <n v="1"/>
    <n v="0.1"/>
    <d v="1899-12-30T02:24:00"/>
    <n v="44328"/>
    <s v="Quality issues"/>
    <n v="7174.1684999999998"/>
    <x v="0"/>
    <n v="1"/>
    <n v="7174.1684999999998"/>
    <x v="2"/>
    <x v="0"/>
  </r>
  <r>
    <x v="0"/>
    <x v="4"/>
    <n v="44330"/>
    <x v="3"/>
    <x v="0"/>
    <x v="12"/>
    <x v="0"/>
    <x v="68"/>
    <s v="Kimchi cải thảo-ngò Bibigo Ông Kim's 500gr"/>
    <s v="Hộp"/>
    <n v="1"/>
    <n v="0.5"/>
    <d v="1899-12-30T12:00:00"/>
    <n v="44330"/>
    <s v="Quality issues"/>
    <n v="29089.964599999999"/>
    <x v="0"/>
    <n v="1"/>
    <n v="29089.964599999999"/>
    <x v="2"/>
    <x v="0"/>
  </r>
  <r>
    <x v="0"/>
    <x v="4"/>
    <n v="44330"/>
    <x v="5"/>
    <x v="0"/>
    <x v="16"/>
    <x v="0"/>
    <x v="27"/>
    <s v="Bò viên ngon Cầu Tre 500gr"/>
    <s v="Gói"/>
    <n v="9"/>
    <n v="4.5"/>
    <d v="1899-12-30T12:00:00"/>
    <n v="44622"/>
    <s v="Quality issues"/>
    <n v="383898.56219999999"/>
    <x v="0"/>
    <n v="9"/>
    <n v="383898.56219999999"/>
    <x v="2"/>
    <x v="0"/>
  </r>
  <r>
    <x v="0"/>
    <x v="4"/>
    <n v="44330"/>
    <x v="5"/>
    <x v="0"/>
    <x v="11"/>
    <x v="0"/>
    <x v="26"/>
    <s v="Chả cá viên 500g"/>
    <s v="Túi"/>
    <n v="1"/>
    <n v="0.5"/>
    <d v="1899-12-30T12:00:00"/>
    <n v="44318"/>
    <s v="Quality issues"/>
    <n v="35585.228900000002"/>
    <x v="0"/>
    <n v="1"/>
    <n v="35585.228900000002"/>
    <x v="2"/>
    <x v="0"/>
  </r>
  <r>
    <x v="0"/>
    <x v="4"/>
    <n v="44330"/>
    <x v="3"/>
    <x v="0"/>
    <x v="12"/>
    <x v="0"/>
    <x v="5"/>
    <s v="Bibigo Kimchi cải thảo cây 1kg"/>
    <s v="Túi"/>
    <n v="1"/>
    <n v="1"/>
    <d v="1899-12-31T00:00:00"/>
    <n v="44330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30"/>
    <s v="Bibigo Kimchi cải thảo cắt lát 500gr"/>
    <s v="Hộp"/>
    <n v="5"/>
    <n v="2.5"/>
    <d v="1899-12-30T12:00:00"/>
    <n v="44328"/>
    <s v="Quality issues"/>
    <n v="137342.3155"/>
    <x v="0"/>
    <n v="5"/>
    <n v="137342.3155"/>
    <x v="2"/>
    <x v="0"/>
  </r>
  <r>
    <x v="0"/>
    <x v="4"/>
    <n v="44330"/>
    <x v="3"/>
    <x v="0"/>
    <x v="12"/>
    <x v="0"/>
    <x v="41"/>
    <s v="Bibigo Kimchi cải thảo chay 500gr"/>
    <s v="Hộp"/>
    <n v="2"/>
    <n v="1"/>
    <d v="1899-12-30T12:00:00"/>
    <n v="44324"/>
    <s v="Quality issues"/>
    <n v="56888.848599999998"/>
    <x v="0"/>
    <n v="2"/>
    <n v="56888.848599999998"/>
    <x v="2"/>
    <x v="0"/>
  </r>
  <r>
    <x v="0"/>
    <x v="4"/>
    <n v="44330"/>
    <x v="3"/>
    <x v="0"/>
    <x v="12"/>
    <x v="0"/>
    <x v="85"/>
    <s v="Bibigo Kimchi cải thảo cắt lát 100gr"/>
    <s v="Túi"/>
    <n v="8"/>
    <n v="0.8"/>
    <d v="1899-12-30T02:24:00"/>
    <n v="44319"/>
    <s v="Quality issues"/>
    <n v="58131.319199999998"/>
    <x v="0"/>
    <n v="8"/>
    <n v="58131.319199999998"/>
    <x v="2"/>
    <x v="0"/>
  </r>
  <r>
    <x v="0"/>
    <x v="4"/>
    <n v="44330"/>
    <x v="3"/>
    <x v="0"/>
    <x v="12"/>
    <x v="0"/>
    <x v="68"/>
    <s v="Bibigo Kimchi cải thảo - ngò 500gr"/>
    <s v="Hộp"/>
    <n v="2"/>
    <n v="1"/>
    <d v="1899-12-30T12:00:00"/>
    <n v="44328"/>
    <s v="Quality issues"/>
    <n v="58179.929199999999"/>
    <x v="0"/>
    <n v="2"/>
    <n v="58179.929199999999"/>
    <x v="2"/>
    <x v="0"/>
  </r>
  <r>
    <x v="0"/>
    <x v="4"/>
    <n v="44330"/>
    <x v="5"/>
    <x v="0"/>
    <x v="16"/>
    <x v="0"/>
    <x v="27"/>
    <s v="Bò viên ngon Cầu Tre 500gr"/>
    <s v="Gói"/>
    <n v="1"/>
    <n v="0.5"/>
    <d v="1899-12-30T12:00:00"/>
    <n v="44623"/>
    <s v="Quality issues"/>
    <n v="42655.395799999998"/>
    <x v="0"/>
    <n v="1"/>
    <n v="42655.395799999998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352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53"/>
    <s v="Kim chi cải thảo cắt lát Ông Kim's 5Kg-GGG"/>
    <s v="Túi"/>
    <n v="2"/>
    <n v="10"/>
    <d v="1900-01-04T00:00:00"/>
    <n v="44342"/>
    <s v="Quality issues"/>
    <n v="304071.41500000004"/>
    <x v="0"/>
    <n v="2"/>
    <n v="304071.41500000004"/>
    <x v="2"/>
    <x v="0"/>
  </r>
  <r>
    <x v="0"/>
    <x v="4"/>
    <n v="44330"/>
    <x v="3"/>
    <x v="0"/>
    <x v="12"/>
    <x v="0"/>
    <x v="53"/>
    <s v="Kim chi cải thảo cắt lát Ông Kim's 5Kg-GGG"/>
    <s v="Túi"/>
    <n v="1"/>
    <n v="5"/>
    <d v="1900-01-04T00:00:00"/>
    <n v="44353"/>
    <s v="Quality issues"/>
    <n v="152035.70750000002"/>
    <x v="0"/>
    <n v="1"/>
    <n v="152035.70750000002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328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85"/>
    <s v="Kimchi cải thảo cắt lát Bibigo Ông Kim's 100gr"/>
    <s v="Túi"/>
    <n v="1"/>
    <n v="0.1"/>
    <d v="1899-12-30T02:24:00"/>
    <n v="44331"/>
    <s v="Quality issues"/>
    <n v="7266.4148999999998"/>
    <x v="0"/>
    <n v="1"/>
    <n v="7266.4148999999998"/>
    <x v="2"/>
    <x v="0"/>
  </r>
  <r>
    <x v="0"/>
    <x v="4"/>
    <n v="44330"/>
    <x v="3"/>
    <x v="0"/>
    <x v="12"/>
    <x v="0"/>
    <x v="30"/>
    <s v="Kim chi cải thảo cắt lát Bibigo Ông Kim's 500gr"/>
    <s v="Hộp"/>
    <n v="2"/>
    <n v="1"/>
    <d v="1899-12-30T12:00:00"/>
    <n v="44332"/>
    <s v="Quality issues"/>
    <n v="54936.926200000002"/>
    <x v="0"/>
    <n v="2"/>
    <n v="54936.926200000002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344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68"/>
    <s v="Kimchi cải thảo-ngò Bibigo Ông Kim's 500gr"/>
    <s v="Hộp"/>
    <n v="2"/>
    <n v="1"/>
    <d v="1899-12-30T12:00:00"/>
    <n v="44337"/>
    <s v="Quality issues"/>
    <n v="58179.929199999999"/>
    <x v="0"/>
    <n v="2"/>
    <n v="58179.929199999999"/>
    <x v="2"/>
    <x v="0"/>
  </r>
  <r>
    <x v="0"/>
    <x v="4"/>
    <n v="44330"/>
    <x v="5"/>
    <x v="0"/>
    <x v="16"/>
    <x v="0"/>
    <x v="46"/>
    <s v="Cá viên ngon Cầu Tre 500gr"/>
    <s v="Gói"/>
    <n v="71"/>
    <n v="35.5"/>
    <d v="1899-12-30T12:00:00"/>
    <n v="44595"/>
    <s v="Quality issues"/>
    <n v="1586215.0825"/>
    <x v="0"/>
    <n v="71"/>
    <n v="1586215.0825"/>
    <x v="2"/>
    <x v="0"/>
  </r>
  <r>
    <x v="0"/>
    <x v="4"/>
    <n v="44330"/>
    <x v="3"/>
    <x v="0"/>
    <x v="12"/>
    <x v="0"/>
    <x v="53"/>
    <s v="Kim chi cải thảo cắt lát Ông Kim's 5Kg-GGG"/>
    <s v="Túi"/>
    <n v="1"/>
    <n v="5"/>
    <d v="1900-01-04T00:00:00"/>
    <m/>
    <s v="Quality issues"/>
    <n v="152035.70750000002"/>
    <x v="0"/>
    <n v="1"/>
    <n v="152035.70750000002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334"/>
    <s v="Quality issues"/>
    <n v="14532.8298"/>
    <x v="0"/>
    <n v="2"/>
    <n v="14532.8298"/>
    <x v="2"/>
    <x v="0"/>
  </r>
  <r>
    <x v="0"/>
    <x v="4"/>
    <n v="44330"/>
    <x v="3"/>
    <x v="0"/>
    <x v="12"/>
    <x v="0"/>
    <x v="85"/>
    <s v="Kimchi cải thảo cắt lát Bibigo Ông Kim's 100gr"/>
    <s v="Túi"/>
    <n v="2"/>
    <n v="0.2"/>
    <d v="1899-12-30T02:24:00"/>
    <n v="44355"/>
    <s v="Quality issues"/>
    <n v="14532.8298"/>
    <x v="0"/>
    <n v="2"/>
    <n v="14532.8298"/>
    <x v="2"/>
    <x v="0"/>
  </r>
  <r>
    <x v="0"/>
    <x v="4"/>
    <n v="44330"/>
    <x v="3"/>
    <x v="0"/>
    <x v="12"/>
    <x v="0"/>
    <x v="30"/>
    <s v="Kim chi cải thảo cắt lát Bibigo Ông Kim's 500gr"/>
    <s v="Hộp"/>
    <n v="3"/>
    <n v="1.5"/>
    <d v="1899-12-30T12:00:00"/>
    <n v="44361"/>
    <s v="Quality issues"/>
    <n v="82405.38930000001"/>
    <x v="0"/>
    <n v="3"/>
    <n v="82405.38930000001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362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30"/>
    <s v="Kim chi cải thảo cắt lát Bibigo Ông Kim's 500gr"/>
    <s v="Hộp"/>
    <n v="1"/>
    <n v="0.5"/>
    <d v="1899-12-30T12:00:00"/>
    <n v="44362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5"/>
    <s v="kim chi cải thảo cây Bibigo Ông Kim's 1kg"/>
    <s v="Túi"/>
    <n v="1"/>
    <n v="1"/>
    <d v="1899-12-31T00:00:00"/>
    <n v="44358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41"/>
    <s v="Kim chi cải thảo chay Bibigo Ông Kim's 500gr"/>
    <s v="Hộp"/>
    <n v="1"/>
    <n v="0.5"/>
    <d v="1899-12-30T12:00:00"/>
    <n v="44359"/>
    <s v="Quality issues"/>
    <n v="28444.424299999999"/>
    <x v="0"/>
    <n v="1"/>
    <n v="28444.424299999999"/>
    <x v="2"/>
    <x v="0"/>
  </r>
  <r>
    <x v="0"/>
    <x v="4"/>
    <n v="44330"/>
    <x v="3"/>
    <x v="0"/>
    <x v="12"/>
    <x v="0"/>
    <x v="68"/>
    <s v="Kimchi cải thảo-ngò Bibigo Ông Kim's 500gr"/>
    <s v="Hộp"/>
    <n v="1"/>
    <n v="0.5"/>
    <d v="1899-12-30T12:00:00"/>
    <n v="44360"/>
    <s v="Quality issues"/>
    <n v="29089.964599999999"/>
    <x v="0"/>
    <n v="1"/>
    <n v="29089.964599999999"/>
    <x v="2"/>
    <x v="0"/>
  </r>
  <r>
    <x v="0"/>
    <x v="4"/>
    <n v="44330"/>
    <x v="5"/>
    <x v="0"/>
    <x v="16"/>
    <x v="0"/>
    <x v="46"/>
    <s v="Cá viên ngon Cầu Tre 500gr"/>
    <s v="Gói"/>
    <n v="3"/>
    <n v="1.5"/>
    <d v="1899-12-30T12:00:00"/>
    <n v="44624"/>
    <s v="Quality issues"/>
    <n v="67023.172500000001"/>
    <x v="0"/>
    <n v="3"/>
    <n v="67023.172500000001"/>
    <x v="2"/>
    <x v="0"/>
  </r>
  <r>
    <x v="0"/>
    <x v="4"/>
    <n v="44330"/>
    <x v="5"/>
    <x v="0"/>
    <x v="16"/>
    <x v="0"/>
    <x v="27"/>
    <s v="Bò viên ngon Cầu Tre 500gr"/>
    <s v="Gói"/>
    <n v="1"/>
    <n v="0.5"/>
    <d v="1899-12-30T12:00:00"/>
    <n v="44623"/>
    <s v="Quality issues"/>
    <n v="42655.395799999998"/>
    <x v="0"/>
    <n v="1"/>
    <n v="42655.395799999998"/>
    <x v="2"/>
    <x v="0"/>
  </r>
  <r>
    <x v="0"/>
    <x v="4"/>
    <n v="44330"/>
    <x v="5"/>
    <x v="0"/>
    <x v="16"/>
    <x v="0"/>
    <x v="46"/>
    <s v="Cá viên ngon Cầu Tre 500gr"/>
    <s v="Gói"/>
    <n v="16"/>
    <n v="8"/>
    <d v="1899-12-30T12:00:00"/>
    <n v="44597"/>
    <s v="Quality issues"/>
    <n v="357456.92"/>
    <x v="0"/>
    <n v="16"/>
    <n v="357456.92"/>
    <x v="2"/>
    <x v="0"/>
  </r>
  <r>
    <x v="0"/>
    <x v="4"/>
    <n v="44330"/>
    <x v="0"/>
    <x v="0"/>
    <x v="18"/>
    <x v="0"/>
    <x v="88"/>
    <s v="Bánh Mandu Thịt CJ Bibigo – Gói 350g"/>
    <s v="Gói"/>
    <n v="3"/>
    <n v="1.0499999999999998"/>
    <d v="1899-12-30T08:24:00"/>
    <n v="44566"/>
    <s v="Quality issues"/>
    <n v="82240.007699999987"/>
    <x v="0"/>
    <n v="3"/>
    <n v="82240.007699999987"/>
    <x v="2"/>
    <x v="0"/>
  </r>
  <r>
    <x v="0"/>
    <x v="4"/>
    <n v="44330"/>
    <x v="5"/>
    <x v="0"/>
    <x v="16"/>
    <x v="0"/>
    <x v="27"/>
    <s v="Bò viên ngon Cầu Tre 500gr"/>
    <s v="Gói"/>
    <n v="3"/>
    <n v="1.5"/>
    <d v="1899-12-30T12:00:00"/>
    <n v="44595"/>
    <s v="Quality issues"/>
    <n v="127966.1874"/>
    <x v="0"/>
    <n v="3"/>
    <n v="127966.1874"/>
    <x v="2"/>
    <x v="0"/>
  </r>
  <r>
    <x v="0"/>
    <x v="4"/>
    <n v="44330"/>
    <x v="3"/>
    <x v="0"/>
    <x v="12"/>
    <x v="0"/>
    <x v="85"/>
    <s v="Bibigo Kimchi cải thảo cắt lát 100gr"/>
    <s v="Túi"/>
    <n v="2"/>
    <n v="0.2"/>
    <d v="1899-12-30T02:24:00"/>
    <n v="44362"/>
    <s v="Quality issues"/>
    <n v="14532.8298"/>
    <x v="0"/>
    <n v="2"/>
    <n v="14532.8298"/>
    <x v="2"/>
    <x v="0"/>
  </r>
  <r>
    <x v="0"/>
    <x v="4"/>
    <n v="44330"/>
    <x v="3"/>
    <x v="0"/>
    <x v="12"/>
    <x v="0"/>
    <x v="30"/>
    <s v="Bibigo Kimchi cải thảo cắt lát 500gr"/>
    <s v="Hộp"/>
    <n v="1"/>
    <n v="0.5"/>
    <d v="1899-12-30T12:00:00"/>
    <n v="44362"/>
    <s v="Quality issues"/>
    <n v="27468.463100000001"/>
    <x v="0"/>
    <n v="1"/>
    <n v="27468.463100000001"/>
    <x v="2"/>
    <x v="0"/>
  </r>
  <r>
    <x v="0"/>
    <x v="4"/>
    <n v="44330"/>
    <x v="3"/>
    <x v="0"/>
    <x v="12"/>
    <x v="0"/>
    <x v="5"/>
    <s v="Bibigo Kimchi cải thảo cây 1kg"/>
    <s v="Túi"/>
    <n v="1"/>
    <n v="1"/>
    <d v="1899-12-31T00:00:00"/>
    <n v="44358"/>
    <s v="Quality issues"/>
    <n v="57059.424200000001"/>
    <x v="0"/>
    <n v="1"/>
    <n v="57059.424200000001"/>
    <x v="2"/>
    <x v="0"/>
  </r>
  <r>
    <x v="0"/>
    <x v="4"/>
    <n v="44330"/>
    <x v="3"/>
    <x v="0"/>
    <x v="12"/>
    <x v="0"/>
    <x v="68"/>
    <s v="Bibigo Kimchi cải thảo - ngò 500gr"/>
    <s v="Hộp"/>
    <n v="2"/>
    <n v="1"/>
    <d v="1899-12-30T12:00:00"/>
    <n v="44362"/>
    <s v="Quality issues"/>
    <n v="58179.929199999999"/>
    <x v="0"/>
    <n v="2"/>
    <n v="58179.929199999999"/>
    <x v="2"/>
    <x v="0"/>
  </r>
  <r>
    <x v="0"/>
    <x v="4"/>
    <n v="44330"/>
    <x v="8"/>
    <x v="1"/>
    <x v="22"/>
    <x v="1"/>
    <x v="313"/>
    <s v="Hỗn hợp bột da hoành thánh Taifoong - Giao Toll GN Foods"/>
    <s v="Kg"/>
    <n v="1059.883"/>
    <n v="1059.883"/>
    <d v="1899-12-31T00:00:00"/>
    <m/>
    <s v="GN must stop production because FG's produced by them are not passed quality when export to USA. =&gt;  Raw materials expired"/>
    <n v="25279553.5"/>
    <x v="0"/>
    <n v="1059.883"/>
    <n v="25279553.5"/>
    <x v="2"/>
    <x v="0"/>
  </r>
  <r>
    <x v="0"/>
    <x v="4"/>
    <n v="44330"/>
    <x v="8"/>
    <x v="1"/>
    <x v="22"/>
    <x v="1"/>
    <x v="314"/>
    <s v="Gia vị CJ - Soup hoành thánh tôm - Mix 1"/>
    <s v="Kg"/>
    <n v="63.271999999999998"/>
    <n v="63.271999999999998"/>
    <d v="1899-12-31T00:00:00"/>
    <m/>
    <s v="GN must stop production because FG's produced by them are not passed quality when export to USA. =&gt;  Raw materials expired"/>
    <n v="4875358"/>
    <x v="0"/>
    <n v="63.271999999999998"/>
    <n v="4875358"/>
    <x v="2"/>
    <x v="0"/>
  </r>
  <r>
    <x v="0"/>
    <x v="4"/>
    <n v="44330"/>
    <x v="8"/>
    <x v="1"/>
    <x v="22"/>
    <x v="1"/>
    <x v="315"/>
    <s v="Gia vị CJ - Soup hoành thánh tôm - Mix 2"/>
    <s v="Kg"/>
    <n v="20.704000000000001"/>
    <n v="20.704000000000001"/>
    <d v="1899-12-31T00:00:00"/>
    <m/>
    <s v="GN must stop production because FG's produced by them are not passed quality when export to USA. =&gt;  Raw materials expired"/>
    <n v="693111"/>
    <x v="0"/>
    <n v="20.704000000000001"/>
    <n v="693111"/>
    <x v="2"/>
    <x v="0"/>
  </r>
  <r>
    <x v="0"/>
    <x v="4"/>
    <n v="44330"/>
    <x v="8"/>
    <x v="1"/>
    <x v="22"/>
    <x v="1"/>
    <x v="316"/>
    <s v="Gia vị CJ - Soup hoành thánh tôm - Mix 3"/>
    <s v="Kg"/>
    <n v="2.4"/>
    <n v="2.4"/>
    <d v="1899-12-31T00:00:00"/>
    <m/>
    <s v="GN must stop production because FG's produced by them are not passed quality when export to USA. =&gt;  Raw materials expired"/>
    <n v="299514"/>
    <x v="0"/>
    <n v="2.4"/>
    <n v="299514"/>
    <x v="2"/>
    <x v="0"/>
  </r>
  <r>
    <x v="0"/>
    <x v="4"/>
    <n v="44330"/>
    <x v="8"/>
    <x v="1"/>
    <x v="22"/>
    <x v="1"/>
    <x v="317"/>
    <s v="Gia vị CJ - Hoành thánh tôm sốt cay - Mix 1"/>
    <s v="Kg"/>
    <n v="21.91"/>
    <n v="21.91"/>
    <d v="1899-12-31T00:00:00"/>
    <m/>
    <s v="GN must stop production because FG's produced by them are not passed quality when export to USA. =&gt;  Raw materials expired"/>
    <n v="436506"/>
    <x v="0"/>
    <n v="21.91"/>
    <n v="436506.00000000006"/>
    <x v="2"/>
    <x v="0"/>
  </r>
  <r>
    <x v="0"/>
    <x v="4"/>
    <n v="44330"/>
    <x v="8"/>
    <x v="1"/>
    <x v="22"/>
    <x v="1"/>
    <x v="318"/>
    <s v="Gia vị CJ - Hoành thánh tôm sốt cay - Mix 2"/>
    <s v="Kg"/>
    <n v="24.3"/>
    <n v="24.3"/>
    <d v="1899-12-31T00:00:00"/>
    <m/>
    <s v="GN must stop production because FG's produced by them are not passed quality when export to USA. =&gt;  Raw materials expired"/>
    <n v="801774"/>
    <x v="0"/>
    <n v="24.3"/>
    <n v="801773.99999999988"/>
    <x v="2"/>
    <x v="0"/>
  </r>
  <r>
    <x v="0"/>
    <x v="4"/>
    <n v="44330"/>
    <x v="8"/>
    <x v="1"/>
    <x v="22"/>
    <x v="1"/>
    <x v="319"/>
    <s v="Bột năng Tài Ký (Tinh bột khoai mì)"/>
    <s v="Kg"/>
    <n v="2.5"/>
    <n v="2.5"/>
    <d v="1899-12-31T00:00:00"/>
    <m/>
    <s v="GN must stop production because FG's produced by them are not passed quality when export to USA. =&gt;  Raw materials expired"/>
    <n v="55901"/>
    <x v="0"/>
    <n v="2.5"/>
    <n v="55901"/>
    <x v="2"/>
    <x v="0"/>
  </r>
  <r>
    <x v="0"/>
    <x v="4"/>
    <n v="44330"/>
    <x v="8"/>
    <x v="1"/>
    <x v="22"/>
    <x v="1"/>
    <x v="320"/>
    <s v="Sauce Kim chi"/>
    <s v="Kg"/>
    <n v="176"/>
    <n v="176"/>
    <d v="1899-12-31T00:00:00"/>
    <n v="44300"/>
    <s v="Ehbara Japan cancel Mar order (720kg FGs)._x000a_Stock left over after finish frozen KC in May (With action of SL extention already)"/>
    <n v="11784960"/>
    <x v="0"/>
    <n v="0"/>
    <n v="0"/>
    <x v="2"/>
    <x v="0"/>
  </r>
  <r>
    <x v="0"/>
    <x v="7"/>
    <n v="44416"/>
    <x v="8"/>
    <x v="1"/>
    <x v="22"/>
    <x v="1"/>
    <x v="321"/>
    <s v="Nước sốt cay hoành thánh tôm Tai Fong"/>
    <s v="Kg"/>
    <n v="204.3"/>
    <n v="204.3"/>
    <d v="1899-12-31T00:00:00"/>
    <n v="44275"/>
    <s v="Use for wonton sichuan on GN,  stop production, RD don’t agree re-use"/>
    <n v="9471143.6999999993"/>
    <x v="0"/>
    <n v="0"/>
    <n v="0"/>
    <x v="2"/>
    <x v="0"/>
  </r>
  <r>
    <x v="0"/>
    <x v="7"/>
    <n v="44416"/>
    <x v="8"/>
    <x v="1"/>
    <x v="22"/>
    <x v="1"/>
    <x v="321"/>
    <s v="Nước sốt cay hoành thánh tôm Tai Fong"/>
    <s v="Kg"/>
    <n v="563"/>
    <n v="563"/>
    <d v="1899-12-31T00:00:00"/>
    <n v="44277"/>
    <s v="Use for wonton sichuan on GN,  stop production, RD don’t agree re-use"/>
    <n v="26100117"/>
    <x v="0"/>
    <n v="0"/>
    <n v="0"/>
    <x v="2"/>
    <x v="0"/>
  </r>
  <r>
    <x v="0"/>
    <x v="7"/>
    <n v="44416"/>
    <x v="8"/>
    <x v="1"/>
    <x v="22"/>
    <x v="1"/>
    <x v="321"/>
    <s v="Nước sốt cay hoành thánh tôm Tai Fong"/>
    <s v="Kg"/>
    <n v="562"/>
    <n v="562"/>
    <d v="1899-12-31T00:00:00"/>
    <n v="44278"/>
    <s v="Use for wonton sichuan on GN,  stop production, RD don’t agree re-use"/>
    <n v="26053758"/>
    <x v="0"/>
    <n v="0"/>
    <n v="0"/>
    <x v="2"/>
    <x v="0"/>
  </r>
  <r>
    <x v="0"/>
    <x v="7"/>
    <n v="44416"/>
    <x v="8"/>
    <x v="1"/>
    <x v="22"/>
    <x v="1"/>
    <x v="322"/>
    <s v="Da gà"/>
    <s v="Kg"/>
    <n v="33"/>
    <n v="33"/>
    <d v="1899-12-31T00:00:00"/>
    <n v="44382"/>
    <s v="No production plan"/>
    <n v="841500"/>
    <x v="0"/>
    <n v="0"/>
    <n v="0"/>
    <x v="2"/>
    <x v="0"/>
  </r>
  <r>
    <x v="0"/>
    <x v="7"/>
    <n v="44416"/>
    <x v="8"/>
    <x v="1"/>
    <x v="22"/>
    <x v="1"/>
    <x v="323"/>
    <s v="Happy Booster"/>
    <s v="Kg"/>
    <n v="47.56"/>
    <n v="47.56"/>
    <d v="1899-12-31T00:00:00"/>
    <n v="44358"/>
    <s v="High MOQ, low production volume"/>
    <n v="15419617.84"/>
    <x v="2"/>
    <n v="0"/>
    <n v="0"/>
    <x v="2"/>
    <x v="0"/>
  </r>
  <r>
    <x v="0"/>
    <x v="7"/>
    <n v="44416"/>
    <x v="8"/>
    <x v="1"/>
    <x v="22"/>
    <x v="1"/>
    <x v="324"/>
    <s v="Chorizo Top"/>
    <s v="Kg"/>
    <n v="41.933"/>
    <n v="41.933"/>
    <d v="1899-12-31T00:00:00"/>
    <n v="44376"/>
    <s v="High MOQ, low production volume"/>
    <n v="18579841.372000001"/>
    <x v="2"/>
    <n v="0"/>
    <n v="0"/>
    <x v="2"/>
    <x v="0"/>
  </r>
  <r>
    <x v="0"/>
    <x v="7"/>
    <n v="44416"/>
    <x v="8"/>
    <x v="1"/>
    <x v="22"/>
    <x v="1"/>
    <x v="325"/>
    <s v="Nguyên liệu V7"/>
    <s v="Kg"/>
    <n v="109"/>
    <n v="109"/>
    <d v="1899-12-31T00:00:00"/>
    <n v="44333"/>
    <s v="High MOQ, low production volume"/>
    <n v="37032314"/>
    <x v="2"/>
    <n v="0"/>
    <n v="0"/>
    <x v="2"/>
    <x v="0"/>
  </r>
  <r>
    <x v="0"/>
    <x v="7"/>
    <n v="44416"/>
    <x v="8"/>
    <x v="1"/>
    <x v="22"/>
    <x v="1"/>
    <x v="326"/>
    <s v="Bột màu xanh lá"/>
    <s v="Kg"/>
    <n v="1.321"/>
    <n v="1.321"/>
    <d v="1899-12-31T00:00:00"/>
    <n v="44377"/>
    <s v="High MOQ, low production volume"/>
    <n v="4366565.5"/>
    <x v="2"/>
    <n v="0"/>
    <n v="0"/>
    <x v="2"/>
    <x v="0"/>
  </r>
  <r>
    <x v="0"/>
    <x v="7"/>
    <n v="44416"/>
    <x v="8"/>
    <x v="1"/>
    <x v="22"/>
    <x v="1"/>
    <x v="327"/>
    <s v="HƯƠNG TÔM"/>
    <s v="Kg"/>
    <n v="15.41"/>
    <n v="15.41"/>
    <d v="1899-12-31T00:00:00"/>
    <n v="44194"/>
    <s v="No production plan"/>
    <n v="7503591.2999999998"/>
    <x v="2"/>
    <n v="0"/>
    <n v="0"/>
    <x v="2"/>
    <x v="0"/>
  </r>
  <r>
    <x v="0"/>
    <x v="7"/>
    <n v="44416"/>
    <x v="8"/>
    <x v="1"/>
    <x v="22"/>
    <x v="1"/>
    <x v="328"/>
    <s v="HƯƠNG GÀ"/>
    <s v="Kg"/>
    <n v="4.75"/>
    <n v="4.75"/>
    <d v="1899-12-31T00:00:00"/>
    <n v="44308"/>
    <s v="No production plan"/>
    <n v="1969255"/>
    <x v="2"/>
    <n v="0"/>
    <n v="0"/>
    <x v="2"/>
    <x v="0"/>
  </r>
  <r>
    <x v="0"/>
    <x v="7"/>
    <n v="44416"/>
    <x v="8"/>
    <x v="1"/>
    <x v="22"/>
    <x v="1"/>
    <x v="93"/>
    <s v="Cà chua xay (cô đặc)"/>
    <s v="Kg"/>
    <n v="24"/>
    <n v="24"/>
    <d v="1899-12-31T00:00:00"/>
    <n v="44281"/>
    <s v="No production plan, use for export product in the past"/>
    <n v="812448"/>
    <x v="0"/>
    <n v="0"/>
    <n v="0"/>
    <x v="2"/>
    <x v="0"/>
  </r>
  <r>
    <x v="0"/>
    <x v="7"/>
    <n v="44416"/>
    <x v="8"/>
    <x v="1"/>
    <x v="22"/>
    <x v="1"/>
    <x v="93"/>
    <s v="Cà chua xay (cô đặc)"/>
    <s v="Kg"/>
    <n v="414"/>
    <n v="414"/>
    <d v="1899-12-31T00:00:00"/>
    <n v="44390"/>
    <s v="No production plan, use for export product in the past"/>
    <n v="14014728"/>
    <x v="0"/>
    <n v="0"/>
    <n v="0"/>
    <x v="2"/>
    <x v="0"/>
  </r>
  <r>
    <x v="0"/>
    <x v="7"/>
    <n v="44416"/>
    <x v="8"/>
    <x v="1"/>
    <x v="22"/>
    <x v="1"/>
    <x v="329"/>
    <s v="Dầu mè rang (kèm bao bì)"/>
    <s v="Kg"/>
    <n v="8.6"/>
    <n v="8.6"/>
    <d v="1899-12-31T00:00:00"/>
    <m/>
    <s v="Be reserved to use after disposal approval, but cannot be used."/>
    <n v="1380255.9999919999"/>
    <x v="0"/>
    <n v="0"/>
    <n v="0"/>
    <x v="2"/>
    <x v="0"/>
  </r>
  <r>
    <x v="0"/>
    <x v="7"/>
    <n v="44416"/>
    <x v="8"/>
    <x v="1"/>
    <x v="22"/>
    <x v="1"/>
    <x v="330"/>
    <s v="Thịt bò nạt/ Fresh beef meat trimming"/>
    <s v="Kg"/>
    <n v="95"/>
    <n v="95"/>
    <d v="1899-12-31T00:00:00"/>
    <n v="44376"/>
    <s v="This raw materials Lean beef of Trung Dong supplier was burnt cold, blue-black in color due to being stored in a frozen container for more than 7 days (14 days), and the packaging was open. QC/QA suggests to discard this materials."/>
    <n v="9542655"/>
    <x v="2"/>
    <n v="0"/>
    <n v="0"/>
    <x v="2"/>
    <x v="0"/>
  </r>
  <r>
    <x v="0"/>
    <x v="7"/>
    <n v="44432"/>
    <x v="1"/>
    <x v="0"/>
    <x v="29"/>
    <x v="2"/>
    <x v="218"/>
    <s v="Cầu Tre Pure bún tươi 300g"/>
    <s v="Gói"/>
    <n v="15"/>
    <n v="1.7999999999999998"/>
    <d v="1899-12-30T07:12:00"/>
    <n v="44587"/>
    <s v="Hàng Thu hồi bị rách "/>
    <n v="157309.47"/>
    <x v="1"/>
    <n v="0"/>
    <n v="0"/>
    <x v="2"/>
    <x v="0"/>
  </r>
  <r>
    <x v="0"/>
    <x v="7"/>
    <n v="44432"/>
    <x v="4"/>
    <x v="0"/>
    <x v="32"/>
    <x v="2"/>
    <x v="189"/>
    <s v="(HAECHANDLE) Tương ớt (P) 500G"/>
    <s v="Hộp"/>
    <n v="1"/>
    <n v="0.5"/>
    <d v="1899-12-30T12:00:00"/>
    <n v="44840"/>
    <s v="Hàng trên cont về bị bể"/>
    <n v="30876.190999999999"/>
    <x v="1"/>
    <n v="0"/>
    <n v="0"/>
    <x v="2"/>
    <x v="0"/>
  </r>
  <r>
    <x v="0"/>
    <x v="7"/>
    <n v="44432"/>
    <x v="1"/>
    <x v="0"/>
    <x v="41"/>
    <x v="2"/>
    <x v="188"/>
    <s v="HETBAHN Cơm ăn liền (210G*36EA)"/>
    <s v="Hộp"/>
    <n v="3"/>
    <n v="0.63"/>
    <d v="1899-12-30T05:02:24"/>
    <n v="44562"/>
    <s v="Hàng trên cont về bị ướt"/>
    <n v="37214.157900000006"/>
    <x v="1"/>
    <n v="0"/>
    <n v="0"/>
    <x v="2"/>
    <x v="0"/>
  </r>
  <r>
    <x v="0"/>
    <x v="7"/>
    <n v="44432"/>
    <x v="4"/>
    <x v="0"/>
    <x v="32"/>
    <x v="2"/>
    <x v="259"/>
    <s v="(HAECHANDLE) Tương ớt cay 1KG"/>
    <s v="Hộp"/>
    <n v="3"/>
    <n v="3"/>
    <d v="1899-12-31T00:00:00"/>
    <n v="44642"/>
    <s v="Hàng HY về bị bung nắp "/>
    <n v="197151.4137"/>
    <x v="1"/>
    <n v="0"/>
    <n v="0"/>
    <x v="2"/>
    <x v="0"/>
  </r>
  <r>
    <x v="0"/>
    <x v="7"/>
    <n v="44432"/>
    <x v="4"/>
    <x v="0"/>
    <x v="32"/>
    <x v="2"/>
    <x v="232"/>
    <s v="Tương ớt Taeyangcho (original) 1KG"/>
    <s v="Hộp"/>
    <n v="4"/>
    <n v="4"/>
    <d v="1899-12-31T00:00:00"/>
    <n v="44828"/>
    <s v="Hàng trên cont về bị bể"/>
    <n v="212166.7464"/>
    <x v="1"/>
    <n v="0"/>
    <n v="0"/>
    <x v="2"/>
    <x v="0"/>
  </r>
  <r>
    <x v="0"/>
    <x v="7"/>
    <n v="44432"/>
    <x v="4"/>
    <x v="0"/>
    <x v="32"/>
    <x v="2"/>
    <x v="261"/>
    <s v="(HAECHANDLE) Tương đậu truyền thống 14KG"/>
    <s v="Thùng"/>
    <n v="2"/>
    <n v="28"/>
    <d v="1900-01-13T00:00:00"/>
    <n v="44637"/>
    <s v="Hàng trên cont về bị móc"/>
    <n v="737574.28760000004"/>
    <x v="1"/>
    <n v="0"/>
    <n v="0"/>
    <x v="2"/>
    <x v="0"/>
  </r>
  <r>
    <x v="0"/>
    <x v="7"/>
    <n v="44432"/>
    <x v="7"/>
    <x v="0"/>
    <x v="30"/>
    <x v="2"/>
    <x v="158"/>
    <s v="Bột mì loại 1 - 20KG"/>
    <s v="Bao"/>
    <n v="1"/>
    <n v="20"/>
    <d v="1900-01-19T00:00:00"/>
    <n v="44581"/>
    <s v="Hàng trên cont về bị rách "/>
    <n v="413298.61290000001"/>
    <x v="1"/>
    <n v="0"/>
    <n v="0"/>
    <x v="2"/>
    <x v="0"/>
  </r>
  <r>
    <x v="0"/>
    <x v="7"/>
    <n v="44432"/>
    <x v="7"/>
    <x v="0"/>
    <x v="30"/>
    <x v="2"/>
    <x v="158"/>
    <s v="Bột mì loại 1 - 20KG"/>
    <s v="Bao"/>
    <n v="1"/>
    <n v="20"/>
    <d v="1900-01-19T00:00:00"/>
    <n v="44490"/>
    <s v="Hàng trên cont về bị rách "/>
    <n v="413298.61290000001"/>
    <x v="1"/>
    <n v="0"/>
    <n v="0"/>
    <x v="2"/>
    <x v="0"/>
  </r>
  <r>
    <x v="0"/>
    <x v="7"/>
    <n v="44432"/>
    <x v="7"/>
    <x v="0"/>
    <x v="30"/>
    <x v="2"/>
    <x v="158"/>
    <s v="Bột mì loại 1 - 20KG"/>
    <s v="Bao"/>
    <n v="1"/>
    <n v="20"/>
    <d v="1900-01-19T00:00:00"/>
    <n v="44629"/>
    <s v="Hàng trên cont về bị rách "/>
    <n v="413298.61290000001"/>
    <x v="1"/>
    <n v="0"/>
    <n v="0"/>
    <x v="2"/>
    <x v="0"/>
  </r>
  <r>
    <x v="0"/>
    <x v="7"/>
    <n v="44432"/>
    <x v="4"/>
    <x v="0"/>
    <x v="32"/>
    <x v="2"/>
    <x v="259"/>
    <s v="(HAECHANDLE) Tương ớt cay 1KG"/>
    <s v="Hộp"/>
    <n v="52"/>
    <n v="48"/>
    <d v="1899-12-31T00:00:00"/>
    <n v="44640"/>
    <s v="Hàng HY về bị bung nắp "/>
    <n v="3417291"/>
    <x v="1"/>
    <n v="0"/>
    <n v="0"/>
    <x v="2"/>
    <x v="0"/>
  </r>
  <r>
    <x v="0"/>
    <x v="7"/>
    <n v="44432"/>
    <x v="4"/>
    <x v="0"/>
    <x v="32"/>
    <x v="2"/>
    <x v="189"/>
    <s v="(HAECHANDLE) Tương ớt (P) 500G"/>
    <s v="Hộp"/>
    <n v="1"/>
    <n v="0.5"/>
    <d v="1899-12-30T12:00:00"/>
    <n v="44822"/>
    <s v="Hàng trên cont về bị bể "/>
    <n v="30876.190999999999"/>
    <x v="1"/>
    <n v="0"/>
    <n v="0"/>
    <x v="2"/>
    <x v="0"/>
  </r>
  <r>
    <x v="0"/>
    <x v="7"/>
    <n v="44432"/>
    <x v="2"/>
    <x v="0"/>
    <x v="34"/>
    <x v="2"/>
    <x v="7"/>
    <s v="(HAECHANDLE) Tương ớt (P) 500G"/>
    <s v="Hộp"/>
    <n v="7"/>
    <n v="2.1"/>
    <d v="1899-12-30T07:12:00"/>
    <n v="44680"/>
    <s v="Hàng trên cont về bị bể "/>
    <n v="490148.89"/>
    <x v="1"/>
    <n v="0"/>
    <n v="0"/>
    <x v="2"/>
    <x v="0"/>
  </r>
  <r>
    <x v="0"/>
    <x v="7"/>
    <n v="44432"/>
    <x v="4"/>
    <x v="0"/>
    <x v="32"/>
    <x v="2"/>
    <x v="331"/>
    <s v="(ALCHAN) Tương ớt 14KG"/>
    <s v="Hộp"/>
    <n v="2"/>
    <n v="28"/>
    <d v="1900-01-13T00:00:00"/>
    <n v="44706"/>
    <s v="Hàng trên cont về bị móp  "/>
    <n v="941660.20880000002"/>
    <x v="1"/>
    <n v="0"/>
    <n v="0"/>
    <x v="2"/>
    <x v="0"/>
  </r>
  <r>
    <x v="0"/>
    <x v="7"/>
    <n v="44432"/>
    <x v="1"/>
    <x v="0"/>
    <x v="29"/>
    <x v="2"/>
    <x v="117"/>
    <s v="Cầu Tre Pure bún tươi 150g"/>
    <s v="GÓI "/>
    <n v="1"/>
    <n v="0.15"/>
    <d v="1899-12-30T03:36:00"/>
    <n v="44610"/>
    <s v="Hàng rách trong thùng"/>
    <n v="4796.5463"/>
    <x v="1"/>
    <n v="0"/>
    <n v="0"/>
    <x v="2"/>
    <x v="0"/>
  </r>
  <r>
    <x v="0"/>
    <x v="7"/>
    <n v="44432"/>
    <x v="2"/>
    <x v="0"/>
    <x v="34"/>
    <x v="2"/>
    <x v="8"/>
    <s v="Thực Phẩm Bảo Vệ Sức Khỏe INNERB AQUA RICH (28G*20EA/CT)"/>
    <s v="Hộp"/>
    <n v="8"/>
    <n v="0.224"/>
    <d v="1899-12-30T00:40:19"/>
    <n v="44596"/>
    <s v="Chất lượng kém - không sử dụng"/>
    <n v="1490248.9088000001"/>
    <x v="1"/>
    <n v="0"/>
    <n v="0"/>
    <x v="2"/>
    <x v="0"/>
  </r>
  <r>
    <x v="0"/>
    <x v="7"/>
    <n v="44432"/>
    <x v="1"/>
    <x v="0"/>
    <x v="29"/>
    <x v="2"/>
    <x v="218"/>
    <s v="Cầu Tre Pure bún tươi 300g"/>
    <s v="Gói"/>
    <n v="1"/>
    <n v="0.3"/>
    <d v="1899-12-30T07:12:00"/>
    <n v="44719"/>
    <s v="Big C trả về"/>
    <n v="10487.298000000001"/>
    <x v="1"/>
    <n v="0"/>
    <n v="0"/>
    <x v="2"/>
    <x v="0"/>
  </r>
  <r>
    <x v="0"/>
    <x v="7"/>
    <n v="44432"/>
    <x v="2"/>
    <x v="0"/>
    <x v="7"/>
    <x v="2"/>
    <x v="332"/>
    <s v="Trà Oolong - Hộp 100G"/>
    <s v="Hộp"/>
    <n v="13"/>
    <n v="1.3"/>
    <d v="1899-12-30T02:24:00"/>
    <n v="44458"/>
    <s v="Satra trả "/>
    <n v="612857.18000000005"/>
    <x v="1"/>
    <n v="0"/>
    <n v="0"/>
    <x v="2"/>
    <x v="0"/>
  </r>
  <r>
    <x v="0"/>
    <x v="7"/>
    <n v="44432"/>
    <x v="2"/>
    <x v="0"/>
    <x v="7"/>
    <x v="2"/>
    <x v="148"/>
    <s v="Trà Oolong - Hộp 200G"/>
    <s v="Hộp"/>
    <n v="10"/>
    <n v="2"/>
    <d v="1899-12-30T04:48:00"/>
    <n v="44472"/>
    <s v="Satra trả "/>
    <n v="808263.93599999999"/>
    <x v="2"/>
    <n v="0"/>
    <n v="0"/>
    <x v="2"/>
    <x v="0"/>
  </r>
  <r>
    <x v="0"/>
    <x v="7"/>
    <n v="44432"/>
    <x v="1"/>
    <x v="0"/>
    <x v="26"/>
    <x v="2"/>
    <x v="130"/>
    <s v="Cầu Tre Im Cháo Gourmet / Cháo Tươi Gà Bát Bửu - túi 250g"/>
    <s v="Gói"/>
    <n v="1"/>
    <n v="0.25"/>
    <d v="1899-12-30T06:00:00"/>
    <n v="44688"/>
    <s v="Bị phù"/>
    <n v="14072.999599999999"/>
    <x v="1"/>
    <n v="0"/>
    <n v="0"/>
    <x v="2"/>
    <x v="0"/>
  </r>
  <r>
    <x v="0"/>
    <x v="7"/>
    <n v="44432"/>
    <x v="4"/>
    <x v="0"/>
    <x v="25"/>
    <x v="2"/>
    <x v="192"/>
    <s v="(BEKSUL) Xốt ướp Bulgogi heo 290G"/>
    <s v="Hủ "/>
    <n v="1"/>
    <n v="0.28999999999999998"/>
    <d v="1899-12-30T06:57:36"/>
    <n v="44876"/>
    <s v="Bị bể trong thùng"/>
    <n v="18631.8393"/>
    <x v="2"/>
    <n v="0"/>
    <n v="0"/>
    <x v="2"/>
    <x v="0"/>
  </r>
  <r>
    <x v="0"/>
    <x v="7"/>
    <n v="44432"/>
    <x v="6"/>
    <x v="0"/>
    <x v="8"/>
    <x v="2"/>
    <x v="29"/>
    <s v="Snack Rong biển Bibigo vị Kimchi 25gr"/>
    <s v="Gói"/>
    <n v="6"/>
    <n v="0.15000000000000002"/>
    <d v="1899-12-30T00:36:00"/>
    <n v="44412"/>
    <s v="Lotte trả"/>
    <n v="63243.160199999998"/>
    <x v="1"/>
    <n v="0"/>
    <n v="0"/>
    <x v="2"/>
    <x v="0"/>
  </r>
  <r>
    <x v="0"/>
    <x v="7"/>
    <n v="44432"/>
    <x v="6"/>
    <x v="0"/>
    <x v="8"/>
    <x v="2"/>
    <x v="29"/>
    <s v="Snack Rong biển Bibigo vị Kimchi 25gr"/>
    <s v="Gói"/>
    <n v="20"/>
    <n v="0.5"/>
    <d v="1899-12-30T00:36:00"/>
    <n v="44412"/>
    <s v="Lotte trả"/>
    <n v="210810.53400000001"/>
    <x v="1"/>
    <n v="0"/>
    <n v="0"/>
    <x v="2"/>
    <x v="0"/>
  </r>
  <r>
    <x v="0"/>
    <x v="7"/>
    <n v="44432"/>
    <x v="6"/>
    <x v="0"/>
    <x v="8"/>
    <x v="2"/>
    <x v="28"/>
    <s v="Snack Rong biển Bibigo vị Bắp Mật Ong 25gr"/>
    <s v="Gói"/>
    <n v="11"/>
    <n v="0.27500000000000002"/>
    <d v="1899-12-30T00:36:00"/>
    <n v="44445"/>
    <s v="Lotte trả"/>
    <n v="115911.5672"/>
    <x v="1"/>
    <n v="0"/>
    <n v="0"/>
    <x v="2"/>
    <x v="0"/>
  </r>
  <r>
    <x v="0"/>
    <x v="7"/>
    <n v="44432"/>
    <x v="6"/>
    <x v="0"/>
    <x v="8"/>
    <x v="2"/>
    <x v="59"/>
    <s v="Snack Rong biển Bibigo vị truyền thống 25gr"/>
    <s v="Gói"/>
    <n v="5"/>
    <n v="0.125"/>
    <d v="1899-12-30T00:36:00"/>
    <n v="44413"/>
    <s v="Lotte trả"/>
    <n v="52693.730500000005"/>
    <x v="1"/>
    <n v="0"/>
    <n v="0"/>
    <x v="2"/>
    <x v="0"/>
  </r>
  <r>
    <x v="0"/>
    <x v="7"/>
    <n v="44432"/>
    <x v="6"/>
    <x v="0"/>
    <x v="8"/>
    <x v="2"/>
    <x v="59"/>
    <s v="Snack Rong biển Bibigo vị truyền thống 25gr"/>
    <s v="Gói"/>
    <n v="4"/>
    <n v="0.1"/>
    <d v="1899-12-30T00:36:00"/>
    <n v="44427"/>
    <s v="Lotte trả"/>
    <n v="42154.984400000001"/>
    <x v="1"/>
    <n v="0"/>
    <n v="0"/>
    <x v="2"/>
    <x v="0"/>
  </r>
  <r>
    <x v="0"/>
    <x v="7"/>
    <n v="44432"/>
    <x v="6"/>
    <x v="0"/>
    <x v="8"/>
    <x v="2"/>
    <x v="59"/>
    <s v="Snack Rong biển Bibigo vị truyền thống 25gr"/>
    <s v="Gói"/>
    <n v="3"/>
    <n v="7.5000000000000011E-2"/>
    <d v="1899-12-30T00:36:00"/>
    <n v="44413"/>
    <s v="Lotte trả"/>
    <n v="31616.238300000001"/>
    <x v="1"/>
    <n v="0"/>
    <n v="0"/>
    <x v="2"/>
    <x v="0"/>
  </r>
  <r>
    <x v="0"/>
    <x v="7"/>
    <n v="44432"/>
    <x v="4"/>
    <x v="0"/>
    <x v="25"/>
    <x v="2"/>
    <x v="153"/>
    <s v="Xốt ướp Bulgogi cay 10KG"/>
    <s v="Thùng"/>
    <n v="1"/>
    <n v="10"/>
    <d v="1900-01-09T00:00:00"/>
    <n v="44610"/>
    <s v="thùng bị nứt "/>
    <n v="454618.4509"/>
    <x v="2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757"/>
    <s v="Xì "/>
    <n v="22349.61829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2"/>
    <n v="1"/>
    <d v="1899-12-30T12:00:00"/>
    <n v="44754"/>
    <s v="Xì "/>
    <n v="44699.236599999997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4"/>
    <n v="2"/>
    <d v="1899-12-30T12:00:00"/>
    <n v="44755"/>
    <s v="Xì "/>
    <n v="89398.473199999993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6"/>
    <n v="3"/>
    <d v="1899-12-30T12:00:00"/>
    <n v="44733"/>
    <s v="Xì "/>
    <n v="134097.7097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5"/>
    <n v="7.5"/>
    <d v="1899-12-30T12:00:00"/>
    <n v="44707"/>
    <s v="Xì "/>
    <n v="335244.2745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4"/>
    <n v="2"/>
    <d v="1899-12-30T12:00:00"/>
    <n v="44741"/>
    <s v="Xì "/>
    <n v="89398.473199999993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0"/>
    <n v="5"/>
    <d v="1899-12-30T12:00:00"/>
    <n v="44699"/>
    <s v="Xì "/>
    <n v="223496.18299999999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4"/>
    <n v="2"/>
    <d v="1899-12-30T12:00:00"/>
    <n v="44694"/>
    <s v="Xì "/>
    <n v="89398.473199999993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7"/>
    <n v="3.5"/>
    <d v="1899-12-30T12:00:00"/>
    <n v="44708"/>
    <s v="Xì "/>
    <n v="156447.3280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7"/>
    <n v="3.5"/>
    <d v="1899-12-30T12:00:00"/>
    <n v="44758"/>
    <s v="Xì "/>
    <n v="156447.3280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3"/>
    <n v="1.5"/>
    <d v="1899-12-30T12:00:00"/>
    <n v="44721"/>
    <s v="Xì "/>
    <n v="67048.854899999991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685"/>
    <s v="Xì "/>
    <n v="22349.61829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686"/>
    <s v="Xì "/>
    <n v="22349.61829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3"/>
    <n v="1.5"/>
    <d v="1899-12-30T12:00:00"/>
    <n v="44666"/>
    <s v="Xì "/>
    <n v="67048.854899999991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8"/>
    <n v="4"/>
    <d v="1899-12-30T12:00:00"/>
    <n v="44691"/>
    <s v="Xì "/>
    <n v="178796.94639999999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0"/>
    <n v="5"/>
    <d v="1899-12-30T12:00:00"/>
    <n v="44705"/>
    <s v="Xì "/>
    <n v="223496.18299999999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2"/>
    <n v="1"/>
    <d v="1899-12-30T12:00:00"/>
    <n v="44714"/>
    <s v="Xì "/>
    <n v="44699.236599999997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2"/>
    <n v="1"/>
    <d v="1899-12-30T12:00:00"/>
    <n v="44719"/>
    <s v="Xì "/>
    <n v="44699.236599999997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729"/>
    <s v="Xì "/>
    <n v="22349.61829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695"/>
    <s v="Xì "/>
    <n v="22349.61829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3"/>
    <n v="1.5"/>
    <d v="1899-12-30T12:00:00"/>
    <n v="44709"/>
    <s v="Xì "/>
    <n v="67048.854899999991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4"/>
    <n v="2"/>
    <d v="1899-12-30T12:00:00"/>
    <n v="44742"/>
    <s v="Xì "/>
    <n v="89398.473199999993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4"/>
    <n v="2"/>
    <d v="1899-12-30T12:00:00"/>
    <n v="44747"/>
    <s v="Xì "/>
    <n v="89398.473199999993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2"/>
    <n v="1"/>
    <d v="1899-12-30T12:00:00"/>
    <n v="44720"/>
    <s v="Xì "/>
    <n v="44699.236599999997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2"/>
    <n v="1"/>
    <d v="1899-12-30T12:00:00"/>
    <n v="44629"/>
    <s v="Xì "/>
    <n v="44699.236599999997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748"/>
    <s v="Xì "/>
    <n v="22349.61829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701"/>
    <s v="Xì "/>
    <n v="22349.61829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0"/>
    <n v="5"/>
    <d v="1899-12-30T12:00:00"/>
    <n v="44713"/>
    <s v="Xì "/>
    <n v="223496.18299999999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7"/>
    <n v="3.5"/>
    <d v="1899-12-30T12:00:00"/>
    <n v="44734"/>
    <s v="Xì "/>
    <n v="156447.32809999998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3"/>
    <n v="1.5"/>
    <d v="1899-12-30T12:00:00"/>
    <n v="44756"/>
    <s v="Xì "/>
    <n v="67048.854899999991"/>
    <x v="1"/>
    <n v="0"/>
    <n v="0"/>
    <x v="2"/>
    <x v="0"/>
  </r>
  <r>
    <x v="0"/>
    <x v="7"/>
    <n v="44432"/>
    <x v="0"/>
    <x v="0"/>
    <x v="0"/>
    <x v="2"/>
    <x v="118"/>
    <s v="Chả giò chay - Gói 500g"/>
    <s v="Gói"/>
    <n v="55"/>
    <n v="27.5"/>
    <d v="1899-12-30T12:00:00"/>
    <n v="44685"/>
    <s v="Rách"/>
    <n v="1212770.7515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2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3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8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62"/>
    <s v="Rách"/>
    <n v="11425.0002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2"/>
    <n v="0.3"/>
    <d v="1899-12-30T03:36:00"/>
    <n v="44719"/>
    <s v="Rách"/>
    <n v="21850.099200000001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3"/>
    <n v="0.45"/>
    <d v="1899-12-30T03:36:00"/>
    <n v="44730"/>
    <s v="Rách"/>
    <n v="32775.148800000003"/>
    <x v="1"/>
    <n v="0"/>
    <n v="0"/>
    <x v="2"/>
    <x v="0"/>
  </r>
  <r>
    <x v="0"/>
    <x v="7"/>
    <n v="44432"/>
    <x v="0"/>
    <x v="0"/>
    <x v="18"/>
    <x v="2"/>
    <x v="145"/>
    <s v="Bánh Mandu Thịt CJ Bibigo – Gói 350g (GT)"/>
    <s v="Gói"/>
    <n v="7"/>
    <n v="2.4499999999999997"/>
    <d v="1899-12-30T08:24:00"/>
    <n v="44565"/>
    <s v="Rách"/>
    <n v="185675"/>
    <x v="1"/>
    <n v="0"/>
    <n v="0"/>
    <x v="2"/>
    <x v="0"/>
  </r>
  <r>
    <x v="0"/>
    <x v="7"/>
    <n v="44432"/>
    <x v="0"/>
    <x v="0"/>
    <x v="18"/>
    <x v="2"/>
    <x v="134"/>
    <s v="Bánh Mandu Thịt và Bắp CJ Bibigo – Gói 350g (GT)"/>
    <s v="Gói"/>
    <n v="9"/>
    <n v="3.15"/>
    <d v="1899-12-30T08:24:00"/>
    <n v="44895"/>
    <s v="Rách"/>
    <n v="238725"/>
    <x v="1"/>
    <n v="0"/>
    <n v="0"/>
    <x v="2"/>
    <x v="0"/>
  </r>
  <r>
    <x v="0"/>
    <x v="7"/>
    <n v="44432"/>
    <x v="0"/>
    <x v="0"/>
    <x v="18"/>
    <x v="2"/>
    <x v="146"/>
    <s v="Bánh Mandu Hải Sản CJ Bibigo – Gói 350g (GT)"/>
    <s v="Gói"/>
    <n v="8"/>
    <n v="2.8"/>
    <d v="1899-12-30T08:24:00"/>
    <n v="44566"/>
    <s v="Rách"/>
    <n v="221000"/>
    <x v="1"/>
    <n v="0"/>
    <n v="0"/>
    <x v="2"/>
    <x v="0"/>
  </r>
  <r>
    <x v="0"/>
    <x v="7"/>
    <n v="44432"/>
    <x v="0"/>
    <x v="0"/>
    <x v="18"/>
    <x v="2"/>
    <x v="146"/>
    <s v="Bánh Mandu Hải Sản CJ Bibigo – Gói 350g (GT)"/>
    <s v="Gói"/>
    <n v="3"/>
    <n v="1.0499999999999998"/>
    <d v="1899-12-30T08:24:00"/>
    <n v="44496"/>
    <s v="Rách"/>
    <n v="82875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3"/>
    <n v="0.75"/>
    <d v="1899-12-30T06:00:00"/>
    <n v="44747"/>
    <s v="Xì "/>
    <n v="51824.860499999995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7"/>
    <n v="1.75"/>
    <d v="1899-12-30T06:00:00"/>
    <n v="44741"/>
    <s v="Xì "/>
    <n v="120924.67449999999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11"/>
    <n v="2.75"/>
    <d v="1899-12-30T06:00:00"/>
    <n v="44729"/>
    <s v="Xì "/>
    <n v="190024.48850000001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2"/>
    <n v="0.5"/>
    <d v="1899-12-30T06:00:00"/>
    <n v="44695"/>
    <s v="Xì "/>
    <n v="34549.906999999999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4"/>
    <n v="1"/>
    <d v="1899-12-30T06:00:00"/>
    <n v="44733"/>
    <s v="Xì "/>
    <n v="69099.813999999998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6"/>
    <n v="1.5"/>
    <d v="1899-12-30T06:00:00"/>
    <n v="44709"/>
    <s v="Xì "/>
    <n v="103649.72100000001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3"/>
    <n v="0.75"/>
    <d v="1899-12-30T06:00:00"/>
    <n v="44721"/>
    <s v="Xì "/>
    <n v="51824.860499999995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3"/>
    <n v="0.75"/>
    <d v="1899-12-30T06:00:00"/>
    <n v="44758"/>
    <s v="Xì "/>
    <n v="51824.860499999995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1"/>
    <n v="0.25"/>
    <d v="1899-12-30T06:00:00"/>
    <n v="44714"/>
    <s v="Xì "/>
    <n v="17274.9535"/>
    <x v="1"/>
    <n v="0"/>
    <n v="0"/>
    <x v="2"/>
    <x v="0"/>
  </r>
  <r>
    <x v="0"/>
    <x v="7"/>
    <n v="44432"/>
    <x v="5"/>
    <x v="0"/>
    <x v="16"/>
    <x v="2"/>
    <x v="231"/>
    <s v="Cá viên - Gói 250G"/>
    <s v="Gói"/>
    <n v="1"/>
    <n v="0.25"/>
    <d v="1899-12-30T06:00:00"/>
    <n v="44701"/>
    <s v="Xì "/>
    <n v="17274.9535"/>
    <x v="1"/>
    <n v="0"/>
    <n v="0"/>
    <x v="2"/>
    <x v="0"/>
  </r>
  <r>
    <x v="0"/>
    <x v="7"/>
    <n v="44432"/>
    <x v="0"/>
    <x v="0"/>
    <x v="3"/>
    <x v="2"/>
    <x v="230"/>
    <s v="Há Cảo Thượng Hạng - Gói 300G"/>
    <s v="Gói"/>
    <n v="4"/>
    <n v="1.2"/>
    <d v="1899-12-30T07:12:00"/>
    <n v="44659"/>
    <s v="Rách"/>
    <n v="154207.4552"/>
    <x v="1"/>
    <n v="0"/>
    <n v="0"/>
    <x v="2"/>
    <x v="0"/>
  </r>
  <r>
    <x v="0"/>
    <x v="7"/>
    <n v="44432"/>
    <x v="0"/>
    <x v="0"/>
    <x v="3"/>
    <x v="2"/>
    <x v="230"/>
    <s v="Há Cảo Thượng Hạng - Gói 300G"/>
    <s v="Gói"/>
    <n v="1"/>
    <n v="0.3"/>
    <d v="1899-12-30T07:12:00"/>
    <n v="44632"/>
    <s v="Rách"/>
    <n v="38551.863799999999"/>
    <x v="1"/>
    <n v="0"/>
    <n v="0"/>
    <x v="2"/>
    <x v="0"/>
  </r>
  <r>
    <x v="0"/>
    <x v="7"/>
    <n v="44432"/>
    <x v="0"/>
    <x v="0"/>
    <x v="3"/>
    <x v="2"/>
    <x v="230"/>
    <s v="Há Cảo Thượng Hạng - Gói 300G"/>
    <s v="Gói"/>
    <n v="1"/>
    <n v="0.3"/>
    <d v="1899-12-30T07:12:00"/>
    <n v="44647"/>
    <s v="Rách"/>
    <n v="38551.863799999999"/>
    <x v="1"/>
    <n v="0"/>
    <n v="0"/>
    <x v="2"/>
    <x v="0"/>
  </r>
  <r>
    <x v="0"/>
    <x v="7"/>
    <n v="44432"/>
    <x v="0"/>
    <x v="0"/>
    <x v="3"/>
    <x v="2"/>
    <x v="230"/>
    <s v="Há Cảo Thượng Hạng - Gói 300G"/>
    <s v="Gói"/>
    <n v="1"/>
    <n v="0.3"/>
    <d v="1899-12-30T07:12:00"/>
    <n v="44744"/>
    <s v="Rách"/>
    <n v="38551.863799999999"/>
    <x v="1"/>
    <n v="0"/>
    <n v="0"/>
    <x v="2"/>
    <x v="0"/>
  </r>
  <r>
    <x v="0"/>
    <x v="7"/>
    <n v="44432"/>
    <x v="0"/>
    <x v="0"/>
    <x v="18"/>
    <x v="2"/>
    <x v="168"/>
    <s v="Bánh Mandu Thịt CJ Bibigo – Gói 175g"/>
    <s v="Gói"/>
    <n v="7"/>
    <n v="1.2250000000000001"/>
    <d v="1899-12-30T04:12:00"/>
    <n v="44630"/>
    <s v="Rách"/>
    <n v="94246.853400000007"/>
    <x v="1"/>
    <n v="0"/>
    <n v="0"/>
    <x v="2"/>
    <x v="0"/>
  </r>
  <r>
    <x v="0"/>
    <x v="7"/>
    <n v="44432"/>
    <x v="0"/>
    <x v="0"/>
    <x v="18"/>
    <x v="2"/>
    <x v="168"/>
    <s v="Bánh Mandu Thịt CJ Bibigo – Gói 175g"/>
    <s v="Gói"/>
    <n v="3"/>
    <n v="0.52499999999999991"/>
    <d v="1899-12-30T04:12:00"/>
    <n v="44629"/>
    <s v="Rách"/>
    <n v="40391.508600000001"/>
    <x v="1"/>
    <n v="0"/>
    <n v="0"/>
    <x v="2"/>
    <x v="0"/>
  </r>
  <r>
    <x v="0"/>
    <x v="7"/>
    <n v="44432"/>
    <x v="0"/>
    <x v="0"/>
    <x v="18"/>
    <x v="2"/>
    <x v="168"/>
    <s v="Bánh Mandu Thịt CJ Bibigo – Gói 175g"/>
    <s v="Gói"/>
    <n v="2"/>
    <n v="0.35"/>
    <d v="1899-12-30T04:12:00"/>
    <n v="44636"/>
    <s v="Rách"/>
    <n v="26927.672399999999"/>
    <x v="1"/>
    <n v="0"/>
    <n v="0"/>
    <x v="2"/>
    <x v="0"/>
  </r>
  <r>
    <x v="0"/>
    <x v="7"/>
    <n v="44432"/>
    <x v="0"/>
    <x v="0"/>
    <x v="18"/>
    <x v="2"/>
    <x v="168"/>
    <s v="Bánh Mandu Thịt CJ Bibigo – Gói 175g"/>
    <s v="Gói"/>
    <n v="2"/>
    <n v="0.35"/>
    <d v="1899-12-30T04:12:00"/>
    <n v="44628"/>
    <s v="Rách"/>
    <n v="26927.672399999999"/>
    <x v="1"/>
    <n v="0"/>
    <n v="0"/>
    <x v="2"/>
    <x v="0"/>
  </r>
  <r>
    <x v="0"/>
    <x v="7"/>
    <n v="44432"/>
    <x v="0"/>
    <x v="0"/>
    <x v="18"/>
    <x v="2"/>
    <x v="168"/>
    <s v="Bánh Mandu Thịt CJ Bibigo – Gói 175g"/>
    <s v="Gói"/>
    <n v="2"/>
    <n v="0.35"/>
    <d v="1899-12-30T04:12:00"/>
    <n v="44637"/>
    <s v="Rách"/>
    <n v="26927.672399999999"/>
    <x v="1"/>
    <n v="0"/>
    <n v="0"/>
    <x v="2"/>
    <x v="0"/>
  </r>
  <r>
    <x v="0"/>
    <x v="7"/>
    <n v="44432"/>
    <x v="5"/>
    <x v="0"/>
    <x v="48"/>
    <x v="2"/>
    <x v="335"/>
    <s v="Nem Nướng - Gói 250G"/>
    <s v="Gói"/>
    <n v="1"/>
    <n v="0.25"/>
    <d v="1899-12-30T06:00:00"/>
    <n v="44695"/>
    <s v="Rách"/>
    <n v="23975.601699999999"/>
    <x v="1"/>
    <n v="0"/>
    <n v="0"/>
    <x v="2"/>
    <x v="0"/>
  </r>
  <r>
    <x v="0"/>
    <x v="7"/>
    <n v="44432"/>
    <x v="0"/>
    <x v="0"/>
    <x v="18"/>
    <x v="2"/>
    <x v="246"/>
    <s v="Bánh Mandu Thịt và Bắp CJ Bibigo – Gói 175g"/>
    <s v="Gói"/>
    <n v="1"/>
    <n v="0.17499999999999999"/>
    <d v="1899-12-30T04:12:00"/>
    <n v="44630"/>
    <s v="Rách"/>
    <n v="15762.4553"/>
    <x v="1"/>
    <n v="0"/>
    <n v="0"/>
    <x v="2"/>
    <x v="0"/>
  </r>
  <r>
    <x v="0"/>
    <x v="7"/>
    <n v="44432"/>
    <x v="0"/>
    <x v="0"/>
    <x v="18"/>
    <x v="2"/>
    <x v="246"/>
    <s v="Bánh Mandu Thịt và Bắp CJ Bibigo – Gói 175g"/>
    <s v="Gói"/>
    <n v="2"/>
    <n v="0.35"/>
    <d v="1899-12-30T04:12:00"/>
    <n v="44621"/>
    <s v="Rách"/>
    <n v="31524.910599999999"/>
    <x v="1"/>
    <n v="0"/>
    <n v="0"/>
    <x v="2"/>
    <x v="0"/>
  </r>
  <r>
    <x v="0"/>
    <x v="7"/>
    <n v="44432"/>
    <x v="0"/>
    <x v="0"/>
    <x v="18"/>
    <x v="2"/>
    <x v="246"/>
    <s v="Bánh Mandu Thịt và Bắp CJ Bibigo – Gói 175g"/>
    <s v="Gói"/>
    <n v="1"/>
    <n v="0.17499999999999999"/>
    <d v="1899-12-30T04:12:00"/>
    <n v="44671"/>
    <s v="Rách"/>
    <n v="15762.4553"/>
    <x v="1"/>
    <n v="0"/>
    <n v="0"/>
    <x v="2"/>
    <x v="0"/>
  </r>
  <r>
    <x v="0"/>
    <x v="7"/>
    <n v="44432"/>
    <x v="0"/>
    <x v="0"/>
    <x v="18"/>
    <x v="2"/>
    <x v="246"/>
    <s v="Bánh Mandu Thịt và Bắp CJ Bibigo – Gói 175g"/>
    <s v="Gói"/>
    <n v="1"/>
    <n v="0.17499999999999999"/>
    <d v="1899-12-30T04:12:00"/>
    <n v="44700"/>
    <s v="Rách"/>
    <n v="15762.4553"/>
    <x v="1"/>
    <n v="0"/>
    <n v="0"/>
    <x v="2"/>
    <x v="0"/>
  </r>
  <r>
    <x v="0"/>
    <x v="7"/>
    <n v="44432"/>
    <x v="0"/>
    <x v="0"/>
    <x v="18"/>
    <x v="2"/>
    <x v="246"/>
    <s v="Bánh Mandu Thịt và Bắp CJ Bibigo – Gói 175g"/>
    <s v="Gói"/>
    <n v="1"/>
    <n v="0.17499999999999999"/>
    <d v="1899-12-30T04:12:00"/>
    <n v="44671"/>
    <s v="Rách"/>
    <n v="15762.4553"/>
    <x v="1"/>
    <n v="0"/>
    <n v="0"/>
    <x v="2"/>
    <x v="0"/>
  </r>
  <r>
    <x v="0"/>
    <x v="7"/>
    <n v="44432"/>
    <x v="0"/>
    <x v="0"/>
    <x v="18"/>
    <x v="2"/>
    <x v="88"/>
    <s v="Bánh Mandu Thịt CJ Bibigo – Gói 350g"/>
    <s v="Gói"/>
    <n v="1"/>
    <n v="0.35"/>
    <d v="1899-12-30T08:24:00"/>
    <n v="44630"/>
    <s v="Rách"/>
    <n v="27424.2755"/>
    <x v="1"/>
    <n v="0"/>
    <n v="0"/>
    <x v="2"/>
    <x v="0"/>
  </r>
  <r>
    <x v="0"/>
    <x v="7"/>
    <n v="44432"/>
    <x v="0"/>
    <x v="0"/>
    <x v="18"/>
    <x v="2"/>
    <x v="88"/>
    <s v="Bánh Mandu Thịt CJ Bibigo – Gói 350g"/>
    <s v="Gói"/>
    <n v="1"/>
    <n v="0.35"/>
    <d v="1899-12-30T08:24:00"/>
    <n v="44636"/>
    <s v="Rách"/>
    <n v="27424.2755"/>
    <x v="1"/>
    <n v="0"/>
    <n v="0"/>
    <x v="2"/>
    <x v="0"/>
  </r>
  <r>
    <x v="0"/>
    <x v="7"/>
    <n v="44432"/>
    <x v="0"/>
    <x v="0"/>
    <x v="18"/>
    <x v="2"/>
    <x v="88"/>
    <s v="Bánh Mandu Thịt CJ Bibigo – Gói 350g"/>
    <s v="Gói"/>
    <n v="2"/>
    <n v="0.7"/>
    <d v="1899-12-30T08:24:00"/>
    <n v="44678"/>
    <s v="Rách"/>
    <n v="54848.550999999999"/>
    <x v="1"/>
    <n v="0"/>
    <n v="0"/>
    <x v="2"/>
    <x v="0"/>
  </r>
  <r>
    <x v="0"/>
    <x v="7"/>
    <n v="44432"/>
    <x v="0"/>
    <x v="0"/>
    <x v="18"/>
    <x v="2"/>
    <x v="88"/>
    <s v="Bánh Mandu Thịt CJ Bibigo – Gói 350g"/>
    <s v="Gói"/>
    <n v="1"/>
    <n v="0.35"/>
    <d v="1899-12-30T08:24:00"/>
    <n v="44628"/>
    <s v="Rách"/>
    <n v="27424.2755"/>
    <x v="1"/>
    <n v="0"/>
    <n v="0"/>
    <x v="2"/>
    <x v="0"/>
  </r>
  <r>
    <x v="0"/>
    <x v="7"/>
    <n v="44432"/>
    <x v="0"/>
    <x v="0"/>
    <x v="0"/>
    <x v="2"/>
    <x v="137"/>
    <s v="Phô Mai Da Xốp Cầu Tre - Phô Mai Bơ Tỏi - Gói 300g"/>
    <s v="Gói"/>
    <n v="1"/>
    <n v="0.3"/>
    <d v="1899-12-30T07:12:00"/>
    <n v="44671"/>
    <s v="Rách"/>
    <n v="39155.537700000001"/>
    <x v="1"/>
    <n v="0"/>
    <n v="0"/>
    <x v="2"/>
    <x v="0"/>
  </r>
  <r>
    <x v="0"/>
    <x v="7"/>
    <n v="44432"/>
    <x v="5"/>
    <x v="0"/>
    <x v="16"/>
    <x v="2"/>
    <x v="27"/>
    <s v="Bò viên ngon Cầu Tre 500gr"/>
    <s v="Gói"/>
    <n v="1"/>
    <n v="0.5"/>
    <d v="1899-12-30T12:00:00"/>
    <n v="44702"/>
    <s v="XÌ"/>
    <n v="42567.162100000001"/>
    <x v="1"/>
    <n v="0"/>
    <n v="0"/>
    <x v="2"/>
    <x v="0"/>
  </r>
  <r>
    <x v="0"/>
    <x v="7"/>
    <n v="44432"/>
    <x v="5"/>
    <x v="0"/>
    <x v="16"/>
    <x v="2"/>
    <x v="217"/>
    <s v="Bò viên Cầu Tre - Gói 200G"/>
    <s v="Gói"/>
    <n v="1"/>
    <n v="0.2"/>
    <d v="1899-12-30T04:48:00"/>
    <n v="44719"/>
    <s v="Rách"/>
    <n v="20200.000800000002"/>
    <x v="1"/>
    <n v="0"/>
    <n v="0"/>
    <x v="2"/>
    <x v="0"/>
  </r>
  <r>
    <x v="0"/>
    <x v="7"/>
    <n v="44432"/>
    <x v="0"/>
    <x v="0"/>
    <x v="18"/>
    <x v="2"/>
    <x v="129"/>
    <s v="Bánh Mandu Hải Sản CJ Bibigo – Gói 175g"/>
    <s v="Gói"/>
    <n v="1"/>
    <n v="0.17499999999999999"/>
    <d v="1899-12-30T04:12:00"/>
    <n v="44726"/>
    <s v="Rách"/>
    <n v="15170.154699999999"/>
    <x v="1"/>
    <n v="0"/>
    <n v="0"/>
    <x v="2"/>
    <x v="0"/>
  </r>
  <r>
    <x v="0"/>
    <x v="7"/>
    <n v="44432"/>
    <x v="0"/>
    <x v="0"/>
    <x v="3"/>
    <x v="2"/>
    <x v="336"/>
    <s v="Há Cảo Hải Sản - Gói 500G"/>
    <s v="Gói"/>
    <n v="1"/>
    <n v="0.5"/>
    <d v="1899-12-30T12:00:00"/>
    <n v="44674"/>
    <s v="Rách"/>
    <n v="40749.235699999997"/>
    <x v="1"/>
    <n v="0"/>
    <n v="0"/>
    <x v="2"/>
    <x v="0"/>
  </r>
  <r>
    <x v="0"/>
    <x v="7"/>
    <n v="44432"/>
    <x v="0"/>
    <x v="0"/>
    <x v="0"/>
    <x v="2"/>
    <x v="337"/>
    <s v="Nem Real Kiểu Hà Nội Nhân Thịt - Gói 360G"/>
    <s v="Gói"/>
    <n v="1"/>
    <n v="0.36"/>
    <d v="1899-12-30T08:38:24"/>
    <n v="44747"/>
    <s v="Rách"/>
    <n v="31584.110100000002"/>
    <x v="1"/>
    <n v="0"/>
    <n v="0"/>
    <x v="2"/>
    <x v="0"/>
  </r>
  <r>
    <x v="0"/>
    <x v="7"/>
    <n v="44432"/>
    <x v="0"/>
    <x v="0"/>
    <x v="0"/>
    <x v="2"/>
    <x v="337"/>
    <s v="Nem Real Kiểu Hà Nội Nhân Thịt - Gói 360G"/>
    <s v="Gói"/>
    <n v="1"/>
    <n v="0.36"/>
    <d v="1899-12-30T08:38:24"/>
    <n v="44685"/>
    <s v="Rách"/>
    <n v="31584.110100000002"/>
    <x v="1"/>
    <n v="0"/>
    <n v="0"/>
    <x v="2"/>
    <x v="0"/>
  </r>
  <r>
    <x v="0"/>
    <x v="7"/>
    <n v="44432"/>
    <x v="0"/>
    <x v="0"/>
    <x v="3"/>
    <x v="2"/>
    <x v="167"/>
    <s v="Xíu Mại CTE Gói 500g"/>
    <s v="Gói"/>
    <n v="1"/>
    <n v="0.5"/>
    <d v="1899-12-30T12:00:00"/>
    <n v="44756"/>
    <s v="Rách"/>
    <n v="37748.903200000001"/>
    <x v="1"/>
    <n v="0"/>
    <n v="0"/>
    <x v="2"/>
    <x v="0"/>
  </r>
  <r>
    <x v="0"/>
    <x v="7"/>
    <n v="44432"/>
    <x v="0"/>
    <x v="0"/>
    <x v="3"/>
    <x v="2"/>
    <x v="167"/>
    <s v="Xíu Mại CTE Gói 500g"/>
    <s v="Gói"/>
    <n v="1"/>
    <n v="0.5"/>
    <d v="1899-12-30T12:00:00"/>
    <n v="44628"/>
    <s v="Rách"/>
    <n v="37748.903200000001"/>
    <x v="1"/>
    <n v="0"/>
    <n v="0"/>
    <x v="2"/>
    <x v="0"/>
  </r>
  <r>
    <x v="0"/>
    <x v="7"/>
    <n v="44432"/>
    <x v="0"/>
    <x v="0"/>
    <x v="0"/>
    <x v="2"/>
    <x v="298"/>
    <s v="Chả GIÒ REAL hải sản- gói 400g"/>
    <s v="Gói"/>
    <n v="1"/>
    <n v="0.4"/>
    <d v="1899-12-30T09:36:00"/>
    <n v="44726"/>
    <s v="Rách"/>
    <n v="40305.726600000002"/>
    <x v="1"/>
    <n v="0"/>
    <n v="0"/>
    <x v="2"/>
    <x v="0"/>
  </r>
  <r>
    <x v="0"/>
    <x v="7"/>
    <n v="44432"/>
    <x v="0"/>
    <x v="0"/>
    <x v="18"/>
    <x v="2"/>
    <x v="129"/>
    <s v="Bánh Mandu Hải Sản CJ Bibigo – Gói 175g"/>
    <s v="Gói"/>
    <n v="4"/>
    <n v="0.7"/>
    <d v="1899-12-30T04:12:00"/>
    <n v="44638"/>
    <s v="Rách"/>
    <n v="60680.618799999997"/>
    <x v="1"/>
    <n v="0"/>
    <n v="0"/>
    <x v="2"/>
    <x v="0"/>
  </r>
  <r>
    <x v="0"/>
    <x v="7"/>
    <n v="44432"/>
    <x v="0"/>
    <x v="0"/>
    <x v="18"/>
    <x v="2"/>
    <x v="129"/>
    <s v="Bánh Mandu Hải Sản CJ Bibigo – Gói 175g"/>
    <s v="Gói"/>
    <n v="1"/>
    <n v="0.17499999999999999"/>
    <d v="1899-12-30T04:12:00"/>
    <n v="44637"/>
    <s v="Rách"/>
    <n v="15170.154699999999"/>
    <x v="1"/>
    <n v="0"/>
    <n v="0"/>
    <x v="2"/>
    <x v="0"/>
  </r>
  <r>
    <x v="0"/>
    <x v="7"/>
    <n v="44432"/>
    <x v="0"/>
    <x v="0"/>
    <x v="18"/>
    <x v="2"/>
    <x v="129"/>
    <s v="Bánh Mandu Hải Sản CJ Bibigo – Gói 175g"/>
    <s v="Gói"/>
    <n v="1"/>
    <n v="0.17499999999999999"/>
    <d v="1899-12-30T04:12:00"/>
    <n v="44699"/>
    <s v="Rách"/>
    <n v="15170.154699999999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2"/>
    <n v="0.3"/>
    <d v="1899-12-30T03:36:00"/>
    <n v="44651"/>
    <s v="Rách"/>
    <n v="21850.099200000001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4"/>
    <n v="0.6"/>
    <d v="1899-12-30T03:36:00"/>
    <n v="44703"/>
    <s v="Rách"/>
    <n v="43700.198400000001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3"/>
    <n v="0.45"/>
    <d v="1899-12-30T03:36:00"/>
    <n v="44719"/>
    <s v="Rách"/>
    <n v="32775.148800000003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687"/>
    <s v="Rách"/>
    <n v="10925.0496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696"/>
    <s v="Rách"/>
    <n v="10925.0496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691"/>
    <s v="Rách"/>
    <n v="10925.0496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695"/>
    <s v="Rách"/>
    <n v="10925.0496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768"/>
    <s v="Rách"/>
    <n v="10925.0496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741"/>
    <s v="Rách"/>
    <n v="10925.0496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734"/>
    <s v="Rách"/>
    <n v="10925.0496"/>
    <x v="1"/>
    <n v="0"/>
    <n v="0"/>
    <x v="2"/>
    <x v="0"/>
  </r>
  <r>
    <x v="0"/>
    <x v="7"/>
    <n v="44432"/>
    <x v="1"/>
    <x v="0"/>
    <x v="41"/>
    <x v="2"/>
    <x v="334"/>
    <s v="CJ Cautre I’m Rice Cơm chiên Kimchi Khay 150g"/>
    <s v="Khay"/>
    <n v="1"/>
    <n v="0.15"/>
    <d v="1899-12-30T03:36:00"/>
    <n v="44721"/>
    <s v="Rách"/>
    <n v="10925.0496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2"/>
    <n v="0.3"/>
    <d v="1899-12-30T03:36:00"/>
    <n v="44660"/>
    <s v="Rách"/>
    <n v="22850.000400000001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2"/>
    <n v="0.3"/>
    <d v="1899-12-30T03:36:00"/>
    <n v="44695"/>
    <s v="Rách"/>
    <n v="22850.000400000001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688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8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2"/>
    <n v="0.3"/>
    <d v="1899-12-30T03:36:00"/>
    <n v="44677"/>
    <s v="Rách"/>
    <n v="22850.000400000001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2"/>
    <n v="0.3"/>
    <d v="1899-12-30T03:36:00"/>
    <n v="44646"/>
    <s v="Rách"/>
    <n v="22850.000400000001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689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0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07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698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3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9"/>
    <s v="Rách"/>
    <n v="11425.0002"/>
    <x v="1"/>
    <n v="0"/>
    <n v="0"/>
    <x v="2"/>
    <x v="0"/>
  </r>
  <r>
    <x v="0"/>
    <x v="7"/>
    <n v="44432"/>
    <x v="1"/>
    <x v="0"/>
    <x v="41"/>
    <x v="2"/>
    <x v="333"/>
    <s v="CJ Cautre I’m Rice Cơm chiên Hải Sản Khay 150g"/>
    <s v="Khay"/>
    <n v="1"/>
    <n v="0.15"/>
    <d v="1899-12-30T03:36:00"/>
    <n v="44724"/>
    <s v="Rách"/>
    <n v="11425.0002"/>
    <x v="1"/>
    <n v="0"/>
    <n v="0"/>
    <x v="2"/>
    <x v="0"/>
  </r>
  <r>
    <x v="0"/>
    <x v="7"/>
    <n v="44432"/>
    <x v="0"/>
    <x v="0"/>
    <x v="18"/>
    <x v="2"/>
    <x v="129"/>
    <s v="Bánh Mandu Hải Sản CJ Bibigo – Gói 175g"/>
    <s v="Gói"/>
    <n v="1"/>
    <n v="0.17499999999999999"/>
    <d v="1899-12-30T04:12:00"/>
    <n v="44637"/>
    <s v="Rách"/>
    <n v="15170.154699999999"/>
    <x v="1"/>
    <n v="0"/>
    <n v="0"/>
    <x v="2"/>
    <x v="0"/>
  </r>
  <r>
    <x v="0"/>
    <x v="7"/>
    <n v="44432"/>
    <x v="0"/>
    <x v="0"/>
    <x v="18"/>
    <x v="2"/>
    <x v="129"/>
    <s v="Bánh Mandu Hải Sản CJ Bibigo – Gói 175g"/>
    <s v="Gói"/>
    <n v="3"/>
    <n v="0.52499999999999991"/>
    <d v="1899-12-30T04:12:00"/>
    <n v="44629"/>
    <s v="Rách"/>
    <n v="45510.464099999997"/>
    <x v="1"/>
    <n v="0"/>
    <n v="0"/>
    <x v="2"/>
    <x v="0"/>
  </r>
  <r>
    <x v="0"/>
    <x v="7"/>
    <n v="44432"/>
    <x v="0"/>
    <x v="0"/>
    <x v="18"/>
    <x v="2"/>
    <x v="129"/>
    <s v="Bánh Mandu Hải Sản CJ Bibigo – Gói 175g"/>
    <s v="Gói"/>
    <n v="5"/>
    <n v="0.875"/>
    <d v="1899-12-30T04:12:00"/>
    <n v="44630"/>
    <s v="Rách"/>
    <n v="75850.773499999996"/>
    <x v="1"/>
    <n v="0"/>
    <n v="0"/>
    <x v="2"/>
    <x v="0"/>
  </r>
  <r>
    <x v="0"/>
    <x v="7"/>
    <n v="44432"/>
    <x v="5"/>
    <x v="0"/>
    <x v="16"/>
    <x v="2"/>
    <x v="217"/>
    <s v="Bò viên Cầu Tre - Gói 200G"/>
    <s v="Gói"/>
    <n v="2"/>
    <n v="0.4"/>
    <d v="1899-12-30T04:48:00"/>
    <n v="44628"/>
    <s v="Rách"/>
    <n v="40400.001600000003"/>
    <x v="1"/>
    <n v="0"/>
    <n v="0"/>
    <x v="2"/>
    <x v="0"/>
  </r>
  <r>
    <x v="0"/>
    <x v="7"/>
    <n v="44432"/>
    <x v="0"/>
    <x v="0"/>
    <x v="0"/>
    <x v="2"/>
    <x v="226"/>
    <s v="Chả Giò Rế - Gói 300G"/>
    <s v="Gói"/>
    <n v="2"/>
    <n v="0.6"/>
    <d v="1899-12-30T07:12:00"/>
    <n v="44660"/>
    <s v="Rách"/>
    <n v="36700.000399999997"/>
    <x v="1"/>
    <n v="0"/>
    <n v="0"/>
    <x v="2"/>
    <x v="0"/>
  </r>
  <r>
    <x v="0"/>
    <x v="7"/>
    <n v="44432"/>
    <x v="0"/>
    <x v="0"/>
    <x v="0"/>
    <x v="2"/>
    <x v="226"/>
    <s v="Chả Giò Rế - Gói 300G"/>
    <s v="Gói"/>
    <n v="1"/>
    <n v="0.3"/>
    <d v="1899-12-30T07:12:00"/>
    <n v="44695"/>
    <s v="Rách"/>
    <n v="18350.000199999999"/>
    <x v="1"/>
    <n v="0"/>
    <n v="0"/>
    <x v="2"/>
    <x v="0"/>
  </r>
  <r>
    <x v="0"/>
    <x v="7"/>
    <n v="44432"/>
    <x v="5"/>
    <x v="0"/>
    <x v="16"/>
    <x v="2"/>
    <x v="46"/>
    <s v="Cá viên ngon Cầu Tre 500gr"/>
    <s v="Túi"/>
    <n v="1"/>
    <n v="0.5"/>
    <d v="1899-12-30T12:00:00"/>
    <n v="44642"/>
    <s v="Xì "/>
    <n v="22349.618299999998"/>
    <x v="1"/>
    <n v="0"/>
    <n v="0"/>
    <x v="2"/>
    <x v="0"/>
  </r>
  <r>
    <x v="0"/>
    <x v="7"/>
    <n v="44432"/>
    <x v="5"/>
    <x v="0"/>
    <x v="16"/>
    <x v="2"/>
    <x v="27"/>
    <s v="Bò viên ngon Cầu Tre 500gr"/>
    <s v="Gói"/>
    <n v="5"/>
    <n v="2.5"/>
    <d v="1899-12-30T12:00:00"/>
    <n v="44646"/>
    <s v="XÌ"/>
    <n v="212835.81049999999"/>
    <x v="1"/>
    <n v="0"/>
    <n v="0"/>
    <x v="2"/>
    <x v="0"/>
  </r>
  <r>
    <x v="0"/>
    <x v="7"/>
    <n v="44432"/>
    <x v="5"/>
    <x v="0"/>
    <x v="16"/>
    <x v="2"/>
    <x v="27"/>
    <s v="Bò viên ngon Cầu Tre 500gr"/>
    <s v="Gói"/>
    <n v="2"/>
    <n v="1"/>
    <d v="1899-12-30T12:00:00"/>
    <n v="44702"/>
    <s v="XÌ"/>
    <n v="85134.324200000003"/>
    <x v="1"/>
    <n v="0"/>
    <n v="0"/>
    <x v="2"/>
    <x v="0"/>
  </r>
  <r>
    <x v="0"/>
    <x v="7"/>
    <n v="44432"/>
    <x v="5"/>
    <x v="0"/>
    <x v="16"/>
    <x v="2"/>
    <x v="27"/>
    <s v="Bò viên ngon Cầu Tre 500gr"/>
    <s v="Gói"/>
    <n v="1"/>
    <n v="0.5"/>
    <d v="1899-12-30T12:00:00"/>
    <n v="44735"/>
    <s v="XÌ"/>
    <n v="42567.162100000001"/>
    <x v="1"/>
    <n v="0"/>
    <n v="0"/>
    <x v="2"/>
    <x v="0"/>
  </r>
  <r>
    <x v="0"/>
    <x v="7"/>
    <n v="44432"/>
    <x v="5"/>
    <x v="0"/>
    <x v="16"/>
    <x v="2"/>
    <x v="27"/>
    <s v="Bò viên ngon Cầu Tre 500gr"/>
    <s v="Gói"/>
    <n v="1"/>
    <n v="0.5"/>
    <d v="1899-12-30T12:00:00"/>
    <n v="44639"/>
    <s v="XÌ"/>
    <n v="42567.162100000001"/>
    <x v="1"/>
    <n v="0"/>
    <n v="0"/>
    <x v="2"/>
    <x v="0"/>
  </r>
  <r>
    <x v="0"/>
    <x v="7"/>
    <n v="44432"/>
    <x v="0"/>
    <x v="0"/>
    <x v="18"/>
    <x v="2"/>
    <x v="58"/>
    <s v="BIBIGO bánh xếp vị Kimchi  420G"/>
    <s v="Gói"/>
    <n v="1"/>
    <n v="0.42"/>
    <d v="1899-12-30T10:04:48"/>
    <n v="44554"/>
    <s v="Mờ date"/>
    <n v="40557.637699999999"/>
    <x v="1"/>
    <n v="0"/>
    <n v="0"/>
    <x v="2"/>
    <x v="0"/>
  </r>
  <r>
    <x v="0"/>
    <x v="7"/>
    <n v="44432"/>
    <x v="6"/>
    <x v="0"/>
    <x v="38"/>
    <x v="2"/>
    <x v="166"/>
    <s v="Ohya Bánh cuộn xúc xích phô mai 195g/gói"/>
    <s v="Gói"/>
    <n v="2"/>
    <n v="0.39"/>
    <d v="1899-12-30T04:40:48"/>
    <n v="44691"/>
    <s v="Rách"/>
    <n v="43545.000200000002"/>
    <x v="0"/>
    <n v="2"/>
    <n v="43545.000200000002"/>
    <x v="2"/>
    <x v="0"/>
  </r>
  <r>
    <x v="0"/>
    <x v="7"/>
    <n v="44432"/>
    <x v="0"/>
    <x v="0"/>
    <x v="3"/>
    <x v="2"/>
    <x v="4"/>
    <s v="Há Cảo Chay - Gói 500G"/>
    <s v="Gói"/>
    <n v="1"/>
    <n v="0.5"/>
    <d v="1899-12-30T12:00:00"/>
    <n v="44699"/>
    <s v="Rách"/>
    <n v="28750.398700000002"/>
    <x v="1"/>
    <n v="0"/>
    <n v="0"/>
    <x v="2"/>
    <x v="0"/>
  </r>
  <r>
    <x v="0"/>
    <x v="7"/>
    <n v="44432"/>
    <x v="0"/>
    <x v="0"/>
    <x v="0"/>
    <x v="2"/>
    <x v="235"/>
    <s v="Chả Giò Da Xốp Cầu Tre - Nhân Thịt - Gói 500G"/>
    <s v="Gói"/>
    <n v="1"/>
    <n v="0.5"/>
    <d v="1899-12-30T12:00:00"/>
    <n v="44632"/>
    <s v="Rách"/>
    <n v="30644.683000000001"/>
    <x v="1"/>
    <n v="0"/>
    <n v="0"/>
    <x v="2"/>
    <x v="0"/>
  </r>
  <r>
    <x v="0"/>
    <x v="7"/>
    <n v="44432"/>
    <x v="0"/>
    <x v="0"/>
    <x v="0"/>
    <x v="2"/>
    <x v="235"/>
    <s v="Chả Giò Da Xốp Cầu Tre - Nhân Thịt - Gói 500G"/>
    <s v="Gói"/>
    <n v="5"/>
    <n v="2.5"/>
    <d v="1899-12-30T12:00:00"/>
    <n v="44684"/>
    <s v="Rách"/>
    <n v="153223.41500000001"/>
    <x v="1"/>
    <n v="0"/>
    <n v="0"/>
    <x v="2"/>
    <x v="0"/>
  </r>
  <r>
    <x v="0"/>
    <x v="7"/>
    <n v="44432"/>
    <x v="0"/>
    <x v="0"/>
    <x v="0"/>
    <x v="2"/>
    <x v="228"/>
    <s v="Chả Giò Da Xốp Cầu Tre - Nhân Tôm và Thịt - Gói 400G"/>
    <s v="Gói"/>
    <n v="1"/>
    <n v="0.4"/>
    <d v="1899-12-30T09:36:00"/>
    <n v="44735"/>
    <s v="Rách"/>
    <n v="26897.263200000001"/>
    <x v="1"/>
    <n v="0"/>
    <n v="0"/>
    <x v="2"/>
    <x v="0"/>
  </r>
  <r>
    <x v="0"/>
    <x v="7"/>
    <n v="44432"/>
    <x v="5"/>
    <x v="0"/>
    <x v="16"/>
    <x v="2"/>
    <x v="290"/>
    <s v="Lẩu thả Long Cung 300g"/>
    <s v="Gói"/>
    <n v="1"/>
    <n v="0.3"/>
    <d v="1899-12-30T07:12:00"/>
    <n v="44747"/>
    <s v="Rách"/>
    <n v="26058.709500000001"/>
    <x v="1"/>
    <n v="0"/>
    <n v="0"/>
    <x v="2"/>
    <x v="0"/>
  </r>
  <r>
    <x v="0"/>
    <x v="7"/>
    <n v="44432"/>
    <x v="5"/>
    <x v="0"/>
    <x v="16"/>
    <x v="2"/>
    <x v="290"/>
    <s v="Lẩu thả Long Cung 300g"/>
    <s v="Gói"/>
    <n v="1"/>
    <n v="0.3"/>
    <d v="1899-12-30T07:12:00"/>
    <n v="44610"/>
    <s v="Rách"/>
    <n v="26058.709500000001"/>
    <x v="1"/>
    <n v="0"/>
    <n v="0"/>
    <x v="2"/>
    <x v="0"/>
  </r>
  <r>
    <x v="0"/>
    <x v="7"/>
    <n v="44432"/>
    <x v="0"/>
    <x v="0"/>
    <x v="0"/>
    <x v="2"/>
    <x v="338"/>
    <s v="Chả Giò - Gói 500G"/>
    <s v="Gói"/>
    <n v="1"/>
    <n v="0.5"/>
    <d v="1899-12-30T12:00:00"/>
    <n v="44735"/>
    <s v="Rách"/>
    <n v="25850.001100000001"/>
    <x v="1"/>
    <n v="0"/>
    <n v="0"/>
    <x v="2"/>
    <x v="0"/>
  </r>
  <r>
    <x v="0"/>
    <x v="7"/>
    <n v="44432"/>
    <x v="0"/>
    <x v="0"/>
    <x v="0"/>
    <x v="2"/>
    <x v="227"/>
    <s v="Chả Giò Đặc Biệt Hải Sản- Gói 500G"/>
    <s v="Gói"/>
    <n v="1"/>
    <n v="0.5"/>
    <d v="1899-12-30T12:00:00"/>
    <n v="44714"/>
    <s v="Rách"/>
    <n v="32550.065600000002"/>
    <x v="1"/>
    <n v="0"/>
    <n v="0"/>
    <x v="2"/>
    <x v="0"/>
  </r>
  <r>
    <x v="0"/>
    <x v="7"/>
    <n v="44432"/>
    <x v="0"/>
    <x v="0"/>
    <x v="18"/>
    <x v="2"/>
    <x v="62"/>
    <s v="Bánh Mandu Thịt CJ Bibigo - gói 1.505kg- Thùng 9,03 kg"/>
    <s v="Gói"/>
    <n v="2"/>
    <n v="3.01"/>
    <d v="1899-12-31T12:07:12"/>
    <n v="44567"/>
    <s v="Xì "/>
    <n v="215038.8308"/>
    <x v="1"/>
    <n v="0"/>
    <n v="0"/>
    <x v="2"/>
    <x v="0"/>
  </r>
  <r>
    <x v="0"/>
    <x v="7"/>
    <n v="44432"/>
    <x v="0"/>
    <x v="0"/>
    <x v="18"/>
    <x v="2"/>
    <x v="106"/>
    <s v="Bánh Mini Mandu Thịt CJ Bibigo - gói 1.505kg- Thùng 9,03 kg"/>
    <s v="Gói"/>
    <n v="2"/>
    <n v="3.01"/>
    <d v="1899-12-31T12:07:12"/>
    <n v="44645"/>
    <s v="Rách"/>
    <n v="244555"/>
    <x v="1"/>
    <n v="0"/>
    <n v="0"/>
    <x v="2"/>
    <x v="0"/>
  </r>
  <r>
    <x v="0"/>
    <x v="7"/>
    <n v="44432"/>
    <x v="0"/>
    <x v="0"/>
    <x v="18"/>
    <x v="2"/>
    <x v="151"/>
    <s v="Bánh Mandu Thịt và Bắp CJ Bibigo - Gói 1.505Kg - Thùng 9,03Kg"/>
    <s v="Gói"/>
    <n v="15"/>
    <n v="22.574999999999999"/>
    <d v="1899-12-31T12:07:12"/>
    <n v="44670"/>
    <s v="Rách"/>
    <n v="1720162.5090000001"/>
    <x v="1"/>
    <n v="0"/>
    <n v="0"/>
    <x v="2"/>
    <x v="0"/>
  </r>
  <r>
    <x v="0"/>
    <x v="7"/>
    <n v="44432"/>
    <x v="0"/>
    <x v="0"/>
    <x v="18"/>
    <x v="2"/>
    <x v="144"/>
    <s v="Bánh Mandu Hải Sản CJ Bibigo - Gói 1.505Kg - Thùng 9,03Kg"/>
    <s v="Gói"/>
    <n v="7"/>
    <n v="10.535"/>
    <d v="1899-12-31T12:07:12"/>
    <n v="44622"/>
    <s v="Rách"/>
    <n v="802742.5"/>
    <x v="1"/>
    <n v="0"/>
    <n v="0"/>
    <x v="2"/>
    <x v="0"/>
  </r>
  <r>
    <x v="0"/>
    <x v="7"/>
    <n v="44432"/>
    <x v="0"/>
    <x v="0"/>
    <x v="18"/>
    <x v="2"/>
    <x v="144"/>
    <s v="Bánh Mandu Hải Sản CJ Bibigo - Gói 1.505Kg - Thùng 9,03Kg"/>
    <s v="Gói"/>
    <n v="1"/>
    <n v="1.5049999999999999"/>
    <d v="1899-12-31T12:07:12"/>
    <n v="44638"/>
    <s v="Rách"/>
    <n v="114677.5"/>
    <x v="1"/>
    <n v="0"/>
    <n v="0"/>
    <x v="2"/>
    <x v="0"/>
  </r>
  <r>
    <x v="0"/>
    <x v="7"/>
    <n v="44432"/>
    <x v="0"/>
    <x v="0"/>
    <x v="0"/>
    <x v="2"/>
    <x v="228"/>
    <s v="Chả Giò Da Xốp Cầu Tre - Nhân Tôm và Thịt - Gói 400G"/>
    <s v="Gói"/>
    <n v="1"/>
    <n v="0.4"/>
    <d v="1899-12-30T09:36:00"/>
    <n v="44703"/>
    <s v="Rách"/>
    <n v="26897.263200000001"/>
    <x v="1"/>
    <n v="0"/>
    <n v="0"/>
    <x v="2"/>
    <x v="0"/>
  </r>
  <r>
    <x v="0"/>
    <x v="7"/>
    <n v="44432"/>
    <x v="0"/>
    <x v="0"/>
    <x v="18"/>
    <x v="2"/>
    <x v="62"/>
    <s v="Bánh Mandu Thịt CJ Bibigo - gói 1.505kg- Thùng 9,03 kg"/>
    <s v="Gói"/>
    <n v="75"/>
    <n v="112.875"/>
    <d v="1899-12-31T12:07:12"/>
    <n v="44645"/>
    <s v="Xì "/>
    <n v="8063956.1550000003"/>
    <x v="1"/>
    <n v="0"/>
    <n v="0"/>
    <x v="2"/>
    <x v="0"/>
  </r>
  <r>
    <x v="0"/>
    <x v="7"/>
    <n v="44432"/>
    <x v="5"/>
    <x v="0"/>
    <x v="16"/>
    <x v="2"/>
    <x v="263"/>
    <s v="Cá viên rau củ Cầu Tre 500g"/>
    <s v="Túi"/>
    <n v="7"/>
    <n v="3.5"/>
    <d v="1899-12-30T12:00:00"/>
    <n v="44629"/>
    <s v="Rách"/>
    <n v="162898.9999"/>
    <x v="2"/>
    <n v="0"/>
    <n v="0"/>
    <x v="2"/>
    <x v="0"/>
  </r>
  <r>
    <x v="0"/>
    <x v="7"/>
    <n v="44432"/>
    <x v="3"/>
    <x v="0"/>
    <x v="21"/>
    <x v="2"/>
    <x v="87"/>
    <s v="Đậu hũ non Bibigo Ông Kim's 220gr"/>
    <s v="Túi"/>
    <n v="10"/>
    <n v="2.2000000000000002"/>
    <d v="1899-12-30T05:16:48"/>
    <n v="44318"/>
    <s v="Xì"/>
    <n v="65100"/>
    <x v="1"/>
    <n v="0"/>
    <n v="0"/>
    <x v="2"/>
    <x v="0"/>
  </r>
  <r>
    <x v="0"/>
    <x v="7"/>
    <n v="44432"/>
    <x v="3"/>
    <x v="0"/>
    <x v="12"/>
    <x v="2"/>
    <x v="85"/>
    <s v="Bibigo Kimchi cải thảo cắt lát 100gr"/>
    <s v="Túi"/>
    <n v="30"/>
    <n v="3"/>
    <d v="1899-12-30T02:24:00"/>
    <n v="44332"/>
    <s v="Xì"/>
    <n v="223487.58900000001"/>
    <x v="1"/>
    <n v="0"/>
    <n v="0"/>
    <x v="2"/>
    <x v="0"/>
  </r>
  <r>
    <x v="0"/>
    <x v="7"/>
    <n v="44432"/>
    <x v="3"/>
    <x v="0"/>
    <x v="12"/>
    <x v="2"/>
    <x v="31"/>
    <s v="Bibigo Kimchi cải thảo - ngò 100gr"/>
    <s v="Túi"/>
    <n v="25"/>
    <n v="2.5"/>
    <d v="1899-12-30T02:24:00"/>
    <n v="44305"/>
    <s v="Hết Date"/>
    <n v="188667.8175"/>
    <x v="2"/>
    <n v="0"/>
    <n v="0"/>
    <x v="2"/>
    <x v="0"/>
  </r>
  <r>
    <x v="0"/>
    <x v="7"/>
    <n v="44432"/>
    <x v="3"/>
    <x v="0"/>
    <x v="12"/>
    <x v="2"/>
    <x v="55"/>
    <s v="Bibigo Kimchi cải thảo cây 5kg"/>
    <s v="Bịch"/>
    <n v="6"/>
    <n v="30"/>
    <d v="1900-01-04T00:00:00"/>
    <n v="44292"/>
    <s v="Hết Date"/>
    <n v="1187657.5475999999"/>
    <x v="2"/>
    <n v="0"/>
    <n v="0"/>
    <x v="2"/>
    <x v="0"/>
  </r>
  <r>
    <x v="0"/>
    <x v="7"/>
    <n v="44432"/>
    <x v="5"/>
    <x v="0"/>
    <x v="11"/>
    <x v="2"/>
    <x v="26"/>
    <s v="Chả cá viên 500g"/>
    <s v="Túi"/>
    <n v="2"/>
    <n v="1"/>
    <d v="1899-12-30T12:00:00"/>
    <n v="44388"/>
    <s v="Xì"/>
    <n v="71298.892600000006"/>
    <x v="1"/>
    <n v="0"/>
    <n v="0"/>
    <x v="2"/>
    <x v="0"/>
  </r>
  <r>
    <x v="0"/>
    <x v="7"/>
    <n v="44432"/>
    <x v="3"/>
    <x v="0"/>
    <x v="21"/>
    <x v="2"/>
    <x v="65"/>
    <s v="Đậu hũ chiên Ông Kim's 350gr"/>
    <s v="Hộp"/>
    <n v="4"/>
    <n v="1.4"/>
    <d v="1899-12-30T08:24:00"/>
    <n v="44356"/>
    <s v="Xì"/>
    <n v="60500"/>
    <x v="2"/>
    <n v="0"/>
    <n v="0"/>
    <x v="2"/>
    <x v="0"/>
  </r>
  <r>
    <x v="0"/>
    <x v="7"/>
    <n v="44432"/>
    <x v="3"/>
    <x v="0"/>
    <x v="21"/>
    <x v="2"/>
    <x v="107"/>
    <s v="Đậu hũ non Bibigo Ông Kim's 250gr"/>
    <s v="Hộp"/>
    <n v="23"/>
    <n v="5.75"/>
    <d v="1899-12-30T06:00:00"/>
    <n v="44356"/>
    <s v="Xì"/>
    <n v="178824.99540000001"/>
    <x v="1"/>
    <n v="0"/>
    <n v="0"/>
    <x v="2"/>
    <x v="0"/>
  </r>
  <r>
    <x v="0"/>
    <x v="7"/>
    <n v="44432"/>
    <x v="3"/>
    <x v="0"/>
    <x v="12"/>
    <x v="2"/>
    <x v="55"/>
    <s v="Bibigo Kimchi cải thảo cây 5kg"/>
    <s v="Bịch"/>
    <n v="16"/>
    <n v="80"/>
    <d v="1900-01-04T00:00:00"/>
    <n v="44373"/>
    <s v="Bể"/>
    <n v="3167086.7936"/>
    <x v="2"/>
    <n v="0"/>
    <n v="0"/>
    <x v="2"/>
    <x v="0"/>
  </r>
  <r>
    <x v="0"/>
    <x v="7"/>
    <n v="44432"/>
    <x v="3"/>
    <x v="0"/>
    <x v="12"/>
    <x v="2"/>
    <x v="94"/>
    <s v="Bibigo Kimchi cải thảo cây 5kg - GGG"/>
    <s v="Bịch"/>
    <n v="4"/>
    <n v="20"/>
    <d v="1900-01-04T00:00:00"/>
    <n v="44381"/>
    <s v="Bể"/>
    <n v="618353.19519999996"/>
    <x v="2"/>
    <n v="0"/>
    <n v="0"/>
    <x v="2"/>
    <x v="0"/>
  </r>
  <r>
    <x v="0"/>
    <x v="7"/>
    <n v="44432"/>
    <x v="3"/>
    <x v="0"/>
    <x v="12"/>
    <x v="2"/>
    <x v="339"/>
    <s v="Bibigo Kimchi cải thảo cắt lát 3kg"/>
    <s v="Túi"/>
    <n v="1"/>
    <n v="3"/>
    <d v="1900-01-02T00:00:00"/>
    <n v="44402"/>
    <s v="Bể"/>
    <n v="119499.78969999999"/>
    <x v="1"/>
    <n v="0"/>
    <n v="0"/>
    <x v="2"/>
    <x v="0"/>
  </r>
  <r>
    <x v="0"/>
    <x v="7"/>
    <n v="44432"/>
    <x v="3"/>
    <x v="0"/>
    <x v="12"/>
    <x v="2"/>
    <x v="31"/>
    <s v="Bibigo Kimchi cải thảo - ngò 100gr"/>
    <s v="Túi"/>
    <n v="14"/>
    <n v="1.4"/>
    <d v="1899-12-30T02:24:00"/>
    <n v="44400"/>
    <s v="Xì"/>
    <n v="105653.97779999999"/>
    <x v="1"/>
    <n v="0"/>
    <n v="0"/>
    <x v="2"/>
    <x v="0"/>
  </r>
  <r>
    <x v="0"/>
    <x v="7"/>
    <n v="44432"/>
    <x v="3"/>
    <x v="0"/>
    <x v="12"/>
    <x v="2"/>
    <x v="85"/>
    <s v="Bibigo Kimchi cải thảo cắt lát 100gr"/>
    <s v="Túi"/>
    <n v="12"/>
    <n v="1.2000000000000002"/>
    <d v="1899-12-30T02:24:00"/>
    <n v="44401"/>
    <s v="Xì"/>
    <n v="89395.035600000003"/>
    <x v="1"/>
    <n v="0"/>
    <n v="0"/>
    <x v="2"/>
    <x v="0"/>
  </r>
  <r>
    <x v="0"/>
    <x v="7"/>
    <n v="44432"/>
    <x v="3"/>
    <x v="0"/>
    <x v="12"/>
    <x v="2"/>
    <x v="55"/>
    <s v="Bibigo Kimchi cải thảo cây 5kg"/>
    <s v="Bịch"/>
    <n v="1"/>
    <n v="5"/>
    <d v="1900-01-04T00:00:00"/>
    <n v="44412"/>
    <s v="Bể"/>
    <n v="197942.9246"/>
    <x v="2"/>
    <n v="0"/>
    <n v="0"/>
    <x v="2"/>
    <x v="0"/>
  </r>
  <r>
    <x v="0"/>
    <x v="7"/>
    <n v="44432"/>
    <x v="3"/>
    <x v="0"/>
    <x v="12"/>
    <x v="2"/>
    <x v="5"/>
    <s v="Bibigo Kimchi cải thảo cây 1kg"/>
    <s v="Túi"/>
    <n v="3"/>
    <n v="3"/>
    <d v="1899-12-31T00:00:00"/>
    <n v="44417"/>
    <s v="Xì"/>
    <n v="154259.58869999999"/>
    <x v="1"/>
    <n v="0"/>
    <n v="0"/>
    <x v="2"/>
    <x v="0"/>
  </r>
  <r>
    <x v="0"/>
    <x v="7"/>
    <n v="44432"/>
    <x v="3"/>
    <x v="0"/>
    <x v="21"/>
    <x v="2"/>
    <x v="107"/>
    <s v="Đậu hũ non Bibigo Ông Kim's 250gr"/>
    <s v="Hộp"/>
    <n v="1"/>
    <n v="0.25"/>
    <d v="1899-12-30T06:00:00"/>
    <n v="44377"/>
    <s v="Xì"/>
    <n v="7774.9997999999996"/>
    <x v="1"/>
    <n v="0"/>
    <n v="0"/>
    <x v="2"/>
    <x v="0"/>
  </r>
  <r>
    <x v="0"/>
    <x v="7"/>
    <n v="44432"/>
    <x v="3"/>
    <x v="0"/>
    <x v="12"/>
    <x v="2"/>
    <x v="41"/>
    <s v="Bibigo Kimchi cải thảo chay 500gr"/>
    <s v="Hộp"/>
    <n v="2"/>
    <n v="1"/>
    <d v="1899-12-30T12:00:00"/>
    <n v="44417"/>
    <s v="Bể"/>
    <n v="52523.432999999997"/>
    <x v="1"/>
    <n v="0"/>
    <n v="0"/>
    <x v="2"/>
    <x v="0"/>
  </r>
  <r>
    <x v="0"/>
    <x v="7"/>
    <n v="44432"/>
    <x v="3"/>
    <x v="0"/>
    <x v="21"/>
    <x v="2"/>
    <x v="65"/>
    <s v="Đậu hũ chiên Ông Kim's 350gr"/>
    <s v="Hộp"/>
    <n v="10"/>
    <n v="3.5"/>
    <d v="1899-12-30T08:24:00"/>
    <n v="44368"/>
    <s v="Xì"/>
    <n v="151250"/>
    <x v="2"/>
    <n v="0"/>
    <n v="0"/>
    <x v="2"/>
    <x v="0"/>
  </r>
  <r>
    <x v="0"/>
    <x v="7"/>
    <n v="44432"/>
    <x v="5"/>
    <x v="0"/>
    <x v="11"/>
    <x v="2"/>
    <x v="26"/>
    <s v="Chả cá viên 500g"/>
    <s v="Túi"/>
    <n v="2"/>
    <n v="1"/>
    <d v="1899-12-30T12:00:00"/>
    <n v="44408"/>
    <s v="Xì"/>
    <n v="71298.892600000006"/>
    <x v="2"/>
    <n v="0"/>
    <n v="0"/>
    <x v="2"/>
    <x v="0"/>
  </r>
  <r>
    <x v="0"/>
    <x v="7"/>
    <n v="44432"/>
    <x v="3"/>
    <x v="0"/>
    <x v="21"/>
    <x v="2"/>
    <x v="66"/>
    <s v="Đậu hũ miếng Bibigo Ông Kim's 250gr"/>
    <s v="Hộp"/>
    <n v="5"/>
    <n v="1.25"/>
    <d v="1899-12-30T06:00:00"/>
    <n v="44385"/>
    <s v="Bể"/>
    <n v="42375"/>
    <x v="1"/>
    <n v="0"/>
    <n v="0"/>
    <x v="2"/>
    <x v="0"/>
  </r>
  <r>
    <x v="0"/>
    <x v="7"/>
    <n v="44432"/>
    <x v="3"/>
    <x v="0"/>
    <x v="12"/>
    <x v="2"/>
    <x v="339"/>
    <s v="Bibigo Kimchi cải thảo cắt lát 3kg"/>
    <s v="Túi"/>
    <n v="3"/>
    <n v="9"/>
    <d v="1900-01-02T00:00:00"/>
    <n v="44422"/>
    <s v="Bể"/>
    <n v="358499.36910000001"/>
    <x v="2"/>
    <n v="0"/>
    <n v="0"/>
    <x v="2"/>
    <x v="0"/>
  </r>
  <r>
    <x v="0"/>
    <x v="7"/>
    <n v="44432"/>
    <x v="3"/>
    <x v="0"/>
    <x v="21"/>
    <x v="2"/>
    <x v="87"/>
    <s v="Đậu hũ non Bibigo Ông Kim's 220gr"/>
    <s v="Túi"/>
    <n v="1"/>
    <n v="0.22"/>
    <d v="1899-12-30T05:16:48"/>
    <n v="44388"/>
    <s v="Bể"/>
    <n v="6510"/>
    <x v="1"/>
    <n v="0"/>
    <n v="0"/>
    <x v="2"/>
    <x v="0"/>
  </r>
  <r>
    <x v="0"/>
    <x v="7"/>
    <n v="44432"/>
    <x v="3"/>
    <x v="0"/>
    <x v="21"/>
    <x v="2"/>
    <x v="107"/>
    <s v="Đậu hũ non Bibigo Ông Kim's 250gr"/>
    <s v="Hộp"/>
    <n v="1"/>
    <n v="0.25"/>
    <d v="1899-12-30T06:00:00"/>
    <n v="44388"/>
    <s v="Bể"/>
    <n v="7774.9997999999996"/>
    <x v="1"/>
    <n v="0"/>
    <n v="0"/>
    <x v="2"/>
    <x v="0"/>
  </r>
  <r>
    <x v="0"/>
    <x v="7"/>
    <n v="44432"/>
    <x v="5"/>
    <x v="0"/>
    <x v="24"/>
    <x v="2"/>
    <x v="9"/>
    <s v="Chả Lụa Quết Thượng Hạng 500g (mát)"/>
    <s v="Gói"/>
    <n v="1"/>
    <n v="0.5"/>
    <d v="1899-12-30T12:00:00"/>
    <n v="44458"/>
    <s v="Không có tem"/>
    <n v="67051.452799999999"/>
    <x v="1"/>
    <n v="0"/>
    <n v="0"/>
    <x v="2"/>
    <x v="0"/>
  </r>
  <r>
    <x v="0"/>
    <x v="7"/>
    <n v="44432"/>
    <x v="3"/>
    <x v="0"/>
    <x v="21"/>
    <x v="2"/>
    <x v="65"/>
    <s v="Đậu hũ chiên Ông Kim's 350gr"/>
    <s v="Hộp"/>
    <n v="5"/>
    <n v="1.75"/>
    <d v="1899-12-30T08:24:00"/>
    <n v="44390"/>
    <s v="Bể"/>
    <n v="75625"/>
    <x v="1"/>
    <n v="0"/>
    <n v="0"/>
    <x v="2"/>
    <x v="0"/>
  </r>
  <r>
    <x v="0"/>
    <x v="7"/>
    <n v="44432"/>
    <x v="3"/>
    <x v="0"/>
    <x v="12"/>
    <x v="2"/>
    <x v="94"/>
    <s v="Bibigo Kimchi cải thảo cây 5kg - GGG"/>
    <s v="Bịch"/>
    <n v="2"/>
    <n v="5"/>
    <d v="1900-01-04T00:00:00"/>
    <n v="44421"/>
    <s v="Bể"/>
    <n v="309176.59759999998"/>
    <x v="1"/>
    <n v="0"/>
    <n v="0"/>
    <x v="2"/>
    <x v="0"/>
  </r>
  <r>
    <x v="0"/>
    <x v="7"/>
    <n v="44432"/>
    <x v="3"/>
    <x v="0"/>
    <x v="21"/>
    <x v="2"/>
    <x v="87"/>
    <s v="Đậu hũ non Bibigo Ông Kim's 220gr"/>
    <s v="Túi"/>
    <n v="1"/>
    <n v="0.22"/>
    <d v="1899-12-30T05:16:48"/>
    <n v="44411"/>
    <s v="Bể"/>
    <n v="6510"/>
    <x v="1"/>
    <n v="0"/>
    <n v="0"/>
    <x v="2"/>
    <x v="0"/>
  </r>
  <r>
    <x v="0"/>
    <x v="7"/>
    <n v="44432"/>
    <x v="3"/>
    <x v="0"/>
    <x v="21"/>
    <x v="2"/>
    <x v="107"/>
    <s v="Đậu hũ non Bibigo Ông Kim's 250gr"/>
    <s v="Hộp"/>
    <n v="1"/>
    <n v="0.25"/>
    <d v="1899-12-30T06:00:00"/>
    <n v="44411"/>
    <s v="Bể"/>
    <n v="7774.9997999999996"/>
    <x v="1"/>
    <n v="0"/>
    <n v="0"/>
    <x v="2"/>
    <x v="0"/>
  </r>
  <r>
    <x v="0"/>
    <x v="7"/>
    <n v="44432"/>
    <x v="5"/>
    <x v="0"/>
    <x v="11"/>
    <x v="2"/>
    <x v="26"/>
    <s v="Chả cá viên 500g"/>
    <s v="Túi"/>
    <n v="3"/>
    <n v="1.5"/>
    <d v="1899-12-30T12:00:00"/>
    <n v="44450"/>
    <s v="Xì"/>
    <n v="106948.3389"/>
    <x v="1"/>
    <n v="0"/>
    <n v="0"/>
    <x v="2"/>
    <x v="0"/>
  </r>
  <r>
    <x v="0"/>
    <x v="7"/>
    <n v="44432"/>
    <x v="3"/>
    <x v="0"/>
    <x v="21"/>
    <x v="2"/>
    <x v="87"/>
    <s v="Đậu hũ non Bibigo Ông Kim's 220gr"/>
    <s v="Hộp"/>
    <n v="45"/>
    <n v="9.9"/>
    <d v="1899-12-30T05:16:48"/>
    <n v="44389"/>
    <s v="Hết Date"/>
    <n v="292950"/>
    <x v="1"/>
    <n v="0"/>
    <n v="0"/>
    <x v="2"/>
    <x v="0"/>
  </r>
  <r>
    <x v="0"/>
    <x v="7"/>
    <n v="44432"/>
    <x v="3"/>
    <x v="0"/>
    <x v="12"/>
    <x v="2"/>
    <x v="340"/>
    <s v="Bibigo Kimchi cải thảo cắt lát 100gr + Sốt 80gr"/>
    <s v="Túi"/>
    <n v="40"/>
    <n v="4"/>
    <d v="1899-12-30T02:24:00"/>
    <n v="44443"/>
    <s v="Xì"/>
    <n v="297983.45199999999"/>
    <x v="1"/>
    <n v="0"/>
    <n v="0"/>
    <x v="2"/>
    <x v="0"/>
  </r>
  <r>
    <x v="0"/>
    <x v="7"/>
    <n v="44432"/>
    <x v="3"/>
    <x v="0"/>
    <x v="12"/>
    <x v="2"/>
    <x v="340"/>
    <s v="Bibigo Kimchi cải thảo cắt lát 100gr + Sốt 80gr"/>
    <s v="Túi"/>
    <n v="10"/>
    <n v="1"/>
    <d v="1899-12-30T02:24:00"/>
    <n v="44442"/>
    <s v="Xì"/>
    <n v="74495.862999999998"/>
    <x v="1"/>
    <n v="0"/>
    <n v="0"/>
    <x v="2"/>
    <x v="0"/>
  </r>
  <r>
    <x v="0"/>
    <x v="7"/>
    <n v="44432"/>
    <x v="3"/>
    <x v="0"/>
    <x v="12"/>
    <x v="2"/>
    <x v="340"/>
    <s v="Bibigo Kimchi cải thảo cắt lát 100gr + Sốt 80gr"/>
    <s v="Túi"/>
    <n v="10"/>
    <n v="1"/>
    <d v="1899-12-30T02:24:00"/>
    <n v="44445"/>
    <s v="Xì"/>
    <n v="74495.862999999998"/>
    <x v="1"/>
    <n v="0"/>
    <n v="0"/>
    <x v="2"/>
    <x v="0"/>
  </r>
  <r>
    <x v="0"/>
    <x v="7"/>
    <n v="44432"/>
    <x v="5"/>
    <x v="0"/>
    <x v="11"/>
    <x v="2"/>
    <x v="26"/>
    <s v="Chả cá viên 500g"/>
    <s v="Túi"/>
    <n v="10"/>
    <n v="5"/>
    <d v="1899-12-30T12:00:00"/>
    <n v="44441"/>
    <s v="Xì"/>
    <n v="356494.46300000005"/>
    <x v="2"/>
    <n v="0"/>
    <n v="0"/>
    <x v="2"/>
    <x v="0"/>
  </r>
  <r>
    <x v="0"/>
    <x v="7"/>
    <n v="44432"/>
    <x v="3"/>
    <x v="0"/>
    <x v="21"/>
    <x v="2"/>
    <x v="87"/>
    <s v="Đậu hũ non Bibigo Ông Kim's 220gr"/>
    <s v="Hộp"/>
    <n v="20"/>
    <n v="4.4000000000000004"/>
    <d v="1899-12-30T05:16:48"/>
    <n v="44412"/>
    <s v="Hết Date"/>
    <n v="130200"/>
    <x v="1"/>
    <n v="0"/>
    <n v="0"/>
    <x v="2"/>
    <x v="0"/>
  </r>
  <r>
    <x v="0"/>
    <x v="7"/>
    <n v="44432"/>
    <x v="5"/>
    <x v="0"/>
    <x v="16"/>
    <x v="2"/>
    <x v="108"/>
    <s v="Cá viên 500g 280 viên/kg"/>
    <s v="Kg"/>
    <n v="10.5"/>
    <n v="10.5"/>
    <d v="1899-12-31T00:00:00"/>
    <n v="44409"/>
    <s v="Hết Date"/>
    <n v="402150"/>
    <x v="1"/>
    <n v="0"/>
    <n v="0"/>
    <x v="2"/>
    <x v="0"/>
  </r>
  <r>
    <x v="0"/>
    <x v="7"/>
    <n v="44432"/>
    <x v="3"/>
    <x v="0"/>
    <x v="12"/>
    <x v="2"/>
    <x v="18"/>
    <s v="Kim chi cải thảo cắt lát Ông Kim's 300g"/>
    <s v="Hộp"/>
    <n v="12"/>
    <n v="3.5999999999999996"/>
    <d v="1899-12-30T07:12:00"/>
    <n v="44462"/>
    <s v="Bể"/>
    <n v="137431.83719999998"/>
    <x v="1"/>
    <n v="0"/>
    <n v="0"/>
    <x v="2"/>
    <x v="0"/>
  </r>
  <r>
    <x v="0"/>
    <x v="7"/>
    <n v="44432"/>
    <x v="3"/>
    <x v="0"/>
    <x v="12"/>
    <x v="2"/>
    <x v="5"/>
    <s v="Bibigo Kimchi cải thảo cây 1kg"/>
    <s v="Túi"/>
    <n v="12"/>
    <n v="12"/>
    <d v="1899-12-31T00:00:00"/>
    <n v="44457"/>
    <s v="Hở Miệng"/>
    <n v="617038.35479999997"/>
    <x v="1"/>
    <n v="0"/>
    <n v="0"/>
    <x v="2"/>
    <x v="0"/>
  </r>
  <r>
    <x v="0"/>
    <x v="7"/>
    <n v="44432"/>
    <x v="3"/>
    <x v="0"/>
    <x v="12"/>
    <x v="2"/>
    <x v="41"/>
    <s v="Bibigo Kimchi cải thảo chay 500gr"/>
    <s v="Hộp"/>
    <n v="12"/>
    <n v="6"/>
    <d v="1899-12-30T12:00:00"/>
    <n v="44470"/>
    <s v="Bể"/>
    <n v="315140.598"/>
    <x v="1"/>
    <n v="0"/>
    <n v="0"/>
    <x v="2"/>
    <x v="0"/>
  </r>
  <r>
    <x v="0"/>
    <x v="7"/>
    <n v="44432"/>
    <x v="3"/>
    <x v="0"/>
    <x v="21"/>
    <x v="2"/>
    <x v="87"/>
    <s v="Đậu hũ non Bibigo Ông Kim's 220gr"/>
    <s v="Túi"/>
    <n v="66"/>
    <n v="14.52"/>
    <d v="1899-12-30T05:16:48"/>
    <n v="44410"/>
    <s v="Hết Date"/>
    <n v="429660"/>
    <x v="2"/>
    <n v="0"/>
    <n v="0"/>
    <x v="2"/>
    <x v="0"/>
  </r>
  <r>
    <x v="0"/>
    <x v="7"/>
    <n v="44432"/>
    <x v="3"/>
    <x v="0"/>
    <x v="21"/>
    <x v="2"/>
    <x v="107"/>
    <s v="Đậu hũ non Bibigo Ông Kim's 250gr"/>
    <s v="Hộp"/>
    <n v="65"/>
    <n v="16.25"/>
    <d v="1899-12-30T06:00:00"/>
    <n v="44410"/>
    <s v="Hết Date"/>
    <n v="505374.98700000002"/>
    <x v="2"/>
    <n v="0"/>
    <n v="0"/>
    <x v="2"/>
    <x v="0"/>
  </r>
  <r>
    <x v="0"/>
    <x v="7"/>
    <n v="44432"/>
    <x v="3"/>
    <x v="0"/>
    <x v="12"/>
    <x v="2"/>
    <x v="339"/>
    <s v="Bibigo Kimchi cải thảo cắt lát 3kg"/>
    <s v="Túi"/>
    <n v="1"/>
    <n v="3"/>
    <d v="1900-01-02T00:00:00"/>
    <n v="44470"/>
    <s v="Bể"/>
    <n v="119499.78969999999"/>
    <x v="2"/>
    <n v="0"/>
    <n v="0"/>
    <x v="2"/>
    <x v="0"/>
  </r>
  <r>
    <x v="0"/>
    <x v="7"/>
    <n v="44432"/>
    <x v="3"/>
    <x v="0"/>
    <x v="12"/>
    <x v="2"/>
    <x v="18"/>
    <s v="Kim chi cải thảo cắt lát Ông Kim's 300g"/>
    <s v="Hộp"/>
    <n v="7"/>
    <n v="2.1"/>
    <d v="1899-12-30T07:12:00"/>
    <n v="44469"/>
    <s v="Bể"/>
    <n v="80168.5717"/>
    <x v="2"/>
    <n v="0"/>
    <n v="0"/>
    <x v="2"/>
    <x v="0"/>
  </r>
  <r>
    <x v="0"/>
    <x v="7"/>
    <n v="44432"/>
    <x v="3"/>
    <x v="0"/>
    <x v="12"/>
    <x v="2"/>
    <x v="94"/>
    <s v="Bibigo Kimchi cải thảo cây 5kg - GGG"/>
    <s v="Bịch"/>
    <n v="4"/>
    <n v="20"/>
    <d v="1900-01-04T00:00:00"/>
    <n v="44458"/>
    <s v="Bể"/>
    <n v="618353.19519999996"/>
    <x v="2"/>
    <n v="0"/>
    <n v="0"/>
    <x v="2"/>
    <x v="0"/>
  </r>
  <r>
    <x v="0"/>
    <x v="7"/>
    <n v="44432"/>
    <x v="7"/>
    <x v="0"/>
    <x v="17"/>
    <x v="1"/>
    <x v="48"/>
    <s v="Sốt Yaki Udon - 900g"/>
    <s v="Gói"/>
    <n v="61"/>
    <n v="54.9"/>
    <d v="1899-12-30T21:36:00"/>
    <n v="44334"/>
    <s v="Raised Staff-sale approval but cannot clear "/>
    <n v="3564605.9999739998"/>
    <x v="0"/>
    <n v="61"/>
    <n v="3564605.9999739998"/>
    <x v="2"/>
    <x v="0"/>
  </r>
  <r>
    <x v="0"/>
    <x v="7"/>
    <n v="44432"/>
    <x v="7"/>
    <x v="0"/>
    <x v="17"/>
    <x v="1"/>
    <x v="49"/>
    <s v="Sốt Singapore - 900g"/>
    <s v="Gói"/>
    <n v="47"/>
    <n v="42.3"/>
    <d v="1899-12-30T21:36:00"/>
    <n v="44307"/>
    <s v="Raised Staff-sale approval but cannot clear "/>
    <n v="2129429.3700779998"/>
    <x v="0"/>
    <n v="47"/>
    <n v="2129429.3700779998"/>
    <x v="2"/>
    <x v="0"/>
  </r>
  <r>
    <x v="0"/>
    <x v="7"/>
    <n v="44432"/>
    <x v="7"/>
    <x v="0"/>
    <x v="17"/>
    <x v="1"/>
    <x v="49"/>
    <s v="Sốt Singapore - 900g"/>
    <s v="Gói"/>
    <n v="80"/>
    <n v="72"/>
    <d v="1899-12-30T21:36:00"/>
    <n v="44334"/>
    <s v="Raised Staff-sale approval but cannot clear "/>
    <n v="3624560.6299200002"/>
    <x v="0"/>
    <n v="80"/>
    <n v="3624560.6299200002"/>
    <x v="2"/>
    <x v="0"/>
  </r>
  <r>
    <x v="0"/>
    <x v="9"/>
    <n v="44474"/>
    <x v="3"/>
    <x v="0"/>
    <x v="49"/>
    <x v="0"/>
    <x v="30"/>
    <s v="Kim chi cải thảo cắt lát Bibigo Ông Kim's 500gr"/>
    <s v="Hộp"/>
    <n v="2965"/>
    <n v="1482.5"/>
    <d v="1899-12-30T12:00:00"/>
    <n v="44474"/>
    <s v="Quality issue related to pH from Kizuna - Hung Yen "/>
    <n v="72952414.253000006"/>
    <x v="0"/>
    <n v="2965"/>
    <n v="72952414.253000006"/>
    <x v="2"/>
    <x v="0"/>
  </r>
  <r>
    <x v="0"/>
    <x v="9"/>
    <n v="44474"/>
    <x v="3"/>
    <x v="0"/>
    <x v="49"/>
    <x v="0"/>
    <x v="30"/>
    <s v="Kim chi cải thảo cắt lát Bibigo Ông Kim's 500gr"/>
    <s v="Hộp"/>
    <n v="305"/>
    <n v="152.5"/>
    <d v="1899-12-30T12:00:00"/>
    <n v="44475"/>
    <s v="Quality issue related to pH from Kizuna - Hung Yen "/>
    <n v="7504379.8810000001"/>
    <x v="0"/>
    <n v="305"/>
    <n v="7504379.8810000001"/>
    <x v="2"/>
    <x v="0"/>
  </r>
  <r>
    <x v="0"/>
    <x v="9"/>
    <n v="44474"/>
    <x v="3"/>
    <x v="0"/>
    <x v="49"/>
    <x v="0"/>
    <x v="30"/>
    <s v="Kim chi cải thảo cắt lát Bibigo Ông Kim's 500gr"/>
    <s v="Hộp"/>
    <n v="2696"/>
    <n v="1348"/>
    <d v="1899-12-30T12:00:00"/>
    <n v="44476"/>
    <s v="Quality issue related to pH from Kizuna - Hung Yen "/>
    <n v="66333797.243199997"/>
    <x v="0"/>
    <n v="2696"/>
    <n v="66333797.243199997"/>
    <x v="2"/>
    <x v="0"/>
  </r>
  <r>
    <x v="0"/>
    <x v="9"/>
    <n v="44496"/>
    <x v="3"/>
    <x v="0"/>
    <x v="12"/>
    <x v="1"/>
    <x v="30"/>
    <s v="Kim Chi cải thảo cắt lát BIBIGO Ông kim 500gr"/>
    <s v="hộp "/>
    <n v="9"/>
    <n v="4.5"/>
    <d v="1899-12-30T12:00:00"/>
    <n v="44397"/>
    <s v="Quality issue swollen at Hưng Yên WH"/>
    <n v="221400.90179999999"/>
    <x v="0"/>
    <n v="9"/>
    <n v="221400.90179999999"/>
    <x v="2"/>
    <x v="0"/>
  </r>
  <r>
    <x v="0"/>
    <x v="9"/>
    <n v="44496"/>
    <x v="3"/>
    <x v="0"/>
    <x v="12"/>
    <x v="1"/>
    <x v="30"/>
    <s v="Kim Chi cải thảo cắt lát BIBIGO Ông kim 500gr"/>
    <s v="hộp "/>
    <n v="12"/>
    <n v="6"/>
    <d v="1899-12-30T12:00:00"/>
    <n v="44400"/>
    <s v="Quality issue swollen at Hưng Yên WH"/>
    <n v="295201.20240000001"/>
    <x v="0"/>
    <n v="12"/>
    <n v="295201.20240000001"/>
    <x v="2"/>
    <x v="0"/>
  </r>
  <r>
    <x v="0"/>
    <x v="9"/>
    <n v="44496"/>
    <x v="3"/>
    <x v="0"/>
    <x v="12"/>
    <x v="1"/>
    <x v="30"/>
    <s v="Kim Chi cải thảo cắt lát BIBIGO Ông kim 500gr"/>
    <s v="hộp "/>
    <n v="112"/>
    <n v="56"/>
    <d v="1899-12-30T12:00:00"/>
    <n v="44401"/>
    <s v="Quality issue swollen at Hưng Yên WH"/>
    <n v="2755211.2224000003"/>
    <x v="0"/>
    <n v="112"/>
    <n v="2755211.2224000003"/>
    <x v="2"/>
    <x v="0"/>
  </r>
  <r>
    <x v="0"/>
    <x v="9"/>
    <n v="44496"/>
    <x v="3"/>
    <x v="0"/>
    <x v="12"/>
    <x v="1"/>
    <x v="30"/>
    <s v="Kim Chi cải thảo cắt lát BIBIGO Ông kim 500gr"/>
    <s v="hộp "/>
    <n v="1497"/>
    <n v="748.5"/>
    <d v="1899-12-30T12:00:00"/>
    <n v="44403"/>
    <s v="Quality issue swollen at Hưng Yên WH"/>
    <n v="36826349.999400005"/>
    <x v="0"/>
    <n v="1497"/>
    <n v="36826349.999400005"/>
    <x v="2"/>
    <x v="0"/>
  </r>
  <r>
    <x v="0"/>
    <x v="9"/>
    <n v="44496"/>
    <x v="3"/>
    <x v="0"/>
    <x v="12"/>
    <x v="1"/>
    <x v="30"/>
    <s v="Kim Chi cải thảo cắt lát BIBIGO Ông kim 500gr"/>
    <s v="hộp "/>
    <n v="70"/>
    <n v="35"/>
    <d v="1899-12-30T12:00:00"/>
    <n v="44405"/>
    <s v="Quality issue swollen at Hưng Yên WH"/>
    <n v="1722007.014"/>
    <x v="0"/>
    <n v="70"/>
    <n v="1722007.014"/>
    <x v="2"/>
    <x v="0"/>
  </r>
  <r>
    <x v="0"/>
    <x v="9"/>
    <n v="44496"/>
    <x v="3"/>
    <x v="0"/>
    <x v="12"/>
    <x v="1"/>
    <x v="30"/>
    <s v="Kim Chi cải thảo cắt lát BIBIGO Ông kim 500gr"/>
    <s v="hộp "/>
    <n v="4731"/>
    <n v="2365.5"/>
    <d v="1899-12-30T12:00:00"/>
    <n v="44406"/>
    <s v="Quality issue swollen at Hưng Yên WH"/>
    <n v="116383074.04620001"/>
    <x v="0"/>
    <n v="4731"/>
    <n v="116383074.04620001"/>
    <x v="2"/>
    <x v="0"/>
  </r>
  <r>
    <x v="0"/>
    <x v="10"/>
    <n v="44518"/>
    <x v="8"/>
    <x v="1"/>
    <x v="22"/>
    <x v="1"/>
    <x v="323"/>
    <s v="Happy Booster"/>
    <s v="Kg"/>
    <n v="47.56"/>
    <m/>
    <d v="1899-12-31T00:00:00"/>
    <n v="44358"/>
    <s v="Low usage "/>
    <n v="15275415.92"/>
    <x v="0"/>
    <n v="47.56"/>
    <n v="15275415.92"/>
    <x v="2"/>
    <x v="0"/>
  </r>
  <r>
    <x v="0"/>
    <x v="10"/>
    <n v="44518"/>
    <x v="8"/>
    <x v="1"/>
    <x v="22"/>
    <x v="1"/>
    <x v="327"/>
    <s v="HƯƠNG TÔM"/>
    <s v="Kg"/>
    <n v="15.41"/>
    <m/>
    <d v="1899-12-31T00:00:00"/>
    <n v="44194"/>
    <s v="Low usage "/>
    <n v="6675997.25"/>
    <x v="0"/>
    <n v="15.41"/>
    <n v="6675997.25"/>
    <x v="2"/>
    <x v="0"/>
  </r>
  <r>
    <x v="0"/>
    <x v="10"/>
    <n v="44518"/>
    <x v="8"/>
    <x v="1"/>
    <x v="22"/>
    <x v="1"/>
    <x v="327"/>
    <s v="HƯƠNG TÔM"/>
    <s v="Kg"/>
    <n v="13.285"/>
    <m/>
    <d v="1899-12-31T00:00:00"/>
    <n v="44487"/>
    <s v="Low usage "/>
    <n v="5755394.125"/>
    <x v="0"/>
    <n v="13.285"/>
    <n v="5755394.125"/>
    <x v="2"/>
    <x v="0"/>
  </r>
  <r>
    <x v="0"/>
    <x v="10"/>
    <n v="44518"/>
    <x v="8"/>
    <x v="1"/>
    <x v="22"/>
    <x v="1"/>
    <x v="341"/>
    <s v="VERDAD F35"/>
    <s v="Kg"/>
    <n v="18"/>
    <m/>
    <d v="1899-12-31T00:00:00"/>
    <n v="44411"/>
    <s v="Low usage "/>
    <n v="3426066"/>
    <x v="0"/>
    <n v="18"/>
    <n v="3426066"/>
    <x v="2"/>
    <x v="0"/>
  </r>
  <r>
    <x v="0"/>
    <x v="10"/>
    <n v="44518"/>
    <x v="8"/>
    <x v="1"/>
    <x v="22"/>
    <x v="1"/>
    <x v="324"/>
    <s v="Chorizo Top"/>
    <s v="Kg"/>
    <n v="40.104999999999997"/>
    <m/>
    <d v="1899-12-31T00:00:00"/>
    <n v="44376"/>
    <s v="Low usage "/>
    <n v="17376734.504999999"/>
    <x v="0"/>
    <n v="40.104999999999997"/>
    <n v="17376734.504999999"/>
    <x v="2"/>
    <x v="0"/>
  </r>
  <r>
    <x v="0"/>
    <x v="10"/>
    <n v="44518"/>
    <x v="8"/>
    <x v="1"/>
    <x v="22"/>
    <x v="1"/>
    <x v="342"/>
    <s v="Chất làm dai (surimi Plus+422)"/>
    <s v="Kg"/>
    <n v="18.25"/>
    <m/>
    <d v="1899-12-31T00:00:00"/>
    <n v="44404"/>
    <s v="Low usage "/>
    <n v="4206607"/>
    <x v="0"/>
    <n v="18.25"/>
    <n v="4206607"/>
    <x v="2"/>
    <x v="0"/>
  </r>
  <r>
    <x v="0"/>
    <x v="10"/>
    <n v="44518"/>
    <x v="8"/>
    <x v="1"/>
    <x v="22"/>
    <x v="1"/>
    <x v="325"/>
    <s v="Nguyên liệu V7"/>
    <s v="Kg"/>
    <n v="104"/>
    <m/>
    <d v="1899-12-31T00:00:00"/>
    <n v="44333"/>
    <s v="Low usage "/>
    <n v="36414976"/>
    <x v="0"/>
    <n v="104"/>
    <n v="36414976"/>
    <x v="2"/>
    <x v="0"/>
  </r>
  <r>
    <x v="0"/>
    <x v="10"/>
    <n v="44518"/>
    <x v="8"/>
    <x v="1"/>
    <x v="22"/>
    <x v="1"/>
    <x v="326"/>
    <s v="Bột màu xanh lá"/>
    <s v="Kg"/>
    <n v="1.2010000000000001"/>
    <m/>
    <d v="1899-12-31T00:00:00"/>
    <n v="44377"/>
    <s v="Low usage "/>
    <n v="3966903"/>
    <x v="0"/>
    <n v="1.2010000000000001"/>
    <n v="3966903"/>
    <x v="2"/>
    <x v="0"/>
  </r>
  <r>
    <x v="0"/>
    <x v="10"/>
    <n v="44518"/>
    <x v="8"/>
    <x v="1"/>
    <x v="22"/>
    <x v="1"/>
    <x v="328"/>
    <s v="HƯƠNG GÀ"/>
    <s v="Kg"/>
    <n v="4.75"/>
    <m/>
    <d v="1899-12-31T00:00:00"/>
    <n v="44308"/>
    <s v="Low usage "/>
    <n v="1568797"/>
    <x v="0"/>
    <n v="4.75"/>
    <n v="1568797"/>
    <x v="2"/>
    <x v="0"/>
  </r>
  <r>
    <x v="0"/>
    <x v="10"/>
    <n v="44518"/>
    <x v="8"/>
    <x v="1"/>
    <x v="22"/>
    <x v="1"/>
    <x v="69"/>
    <s v="Hành lá sấy NFC 140120"/>
    <s v="Kg"/>
    <n v="6.9169999999999998"/>
    <m/>
    <d v="1899-12-31T00:00:00"/>
    <n v="44414"/>
    <s v="Low usage "/>
    <n v="3423333.9720000001"/>
    <x v="0"/>
    <n v="6.9169999999999998"/>
    <n v="3423333.9720000001"/>
    <x v="2"/>
    <x v="0"/>
  </r>
  <r>
    <x v="0"/>
    <x v="10"/>
    <n v="44518"/>
    <x v="8"/>
    <x v="1"/>
    <x v="22"/>
    <x v="1"/>
    <x v="343"/>
    <s v="Hương gà / Chicken Flavor"/>
    <s v="Kg"/>
    <n v="13"/>
    <m/>
    <d v="1899-12-31T00:00:00"/>
    <n v="44418"/>
    <s v="Low usage "/>
    <n v="6789000"/>
    <x v="0"/>
    <n v="13"/>
    <n v="6789000"/>
    <x v="2"/>
    <x v="0"/>
  </r>
  <r>
    <x v="0"/>
    <x v="10"/>
    <n v="44518"/>
    <x v="8"/>
    <x v="1"/>
    <x v="22"/>
    <x v="1"/>
    <x v="344"/>
    <s v="LI Seasoning"/>
    <s v="Kg"/>
    <n v="95.337999999999994"/>
    <m/>
    <d v="1899-12-31T00:00:00"/>
    <n v="44476"/>
    <s v="Low usage "/>
    <n v="20054252.961999997"/>
    <x v="0"/>
    <n v="95.337999999999994"/>
    <n v="20054252.961999997"/>
    <x v="2"/>
    <x v="0"/>
  </r>
  <r>
    <x v="0"/>
    <x v="10"/>
    <n v="44518"/>
    <x v="8"/>
    <x v="1"/>
    <x v="22"/>
    <x v="1"/>
    <x v="345"/>
    <s v="Sodium Nitrite - NaNO2"/>
    <s v="Kg"/>
    <n v="16.782"/>
    <m/>
    <d v="1899-12-31T00:00:00"/>
    <n v="44499"/>
    <s v="Low usage "/>
    <n v="3650051.4360000002"/>
    <x v="0"/>
    <n v="16.782"/>
    <n v="3650051.4360000002"/>
    <x v="2"/>
    <x v="0"/>
  </r>
  <r>
    <x v="0"/>
    <x v="10"/>
    <n v="44518"/>
    <x v="8"/>
    <x v="1"/>
    <x v="22"/>
    <x v="1"/>
    <x v="120"/>
    <s v="Chiết xuất xương bò – Beef bone extract"/>
    <s v="Kg"/>
    <n v="80"/>
    <m/>
    <d v="1899-12-31T00:00:00"/>
    <n v="44442"/>
    <s v="No production plan"/>
    <n v="28722732"/>
    <x v="0"/>
    <n v="80"/>
    <n v="28722732"/>
    <x v="2"/>
    <x v="0"/>
  </r>
  <r>
    <x v="0"/>
    <x v="10"/>
    <n v="44518"/>
    <x v="8"/>
    <x v="1"/>
    <x v="22"/>
    <x v="1"/>
    <x v="346"/>
    <s v="Nước tro tàu"/>
    <s v="Kg"/>
    <n v="60"/>
    <m/>
    <d v="1899-12-31T00:00:00"/>
    <n v="44501"/>
    <s v="No production plan"/>
    <n v="1979760"/>
    <x v="0"/>
    <n v="60"/>
    <n v="1979760"/>
    <x v="2"/>
    <x v="0"/>
  </r>
  <r>
    <x v="0"/>
    <x v="10"/>
    <n v="44522"/>
    <x v="3"/>
    <x v="0"/>
    <x v="12"/>
    <x v="0"/>
    <x v="85"/>
    <s v="Bibigo Kimchi cải thảo cắt lát 100gr"/>
    <s v="Túi"/>
    <n v="2"/>
    <n v="0.2"/>
    <d v="1899-12-30T02:24:00"/>
    <n v="44496"/>
    <s v="Lỗi bục- Phát hiện trong kho"/>
    <n v="14259.9918"/>
    <x v="0"/>
    <n v="2"/>
    <n v="14259.9918"/>
    <x v="2"/>
    <x v="0"/>
  </r>
  <r>
    <x v="0"/>
    <x v="10"/>
    <n v="44522"/>
    <x v="3"/>
    <x v="0"/>
    <x v="12"/>
    <x v="0"/>
    <x v="42"/>
    <s v="Dưa cải Bibigo 200G"/>
    <s v="Gói"/>
    <n v="2"/>
    <n v="0.4"/>
    <d v="1899-12-30T04:48:00"/>
    <n v="44499"/>
    <s v="Lỗi bục- Phát hiện trong kho"/>
    <n v="11920.0008"/>
    <x v="0"/>
    <n v="2"/>
    <n v="11920.0008"/>
    <x v="2"/>
    <x v="0"/>
  </r>
  <r>
    <x v="0"/>
    <x v="10"/>
    <n v="44522"/>
    <x v="3"/>
    <x v="0"/>
    <x v="12"/>
    <x v="0"/>
    <x v="68"/>
    <s v="Bibigo Kimchi cải thảo - ngò 500gr"/>
    <s v="Hộp"/>
    <n v="1"/>
    <n v="0.5"/>
    <d v="1899-12-30T12:00:00"/>
    <n v="44500"/>
    <s v="Lỗi vỡ- Phát hiện trong kho"/>
    <n v="26150.474300000002"/>
    <x v="0"/>
    <n v="1"/>
    <n v="26150.474300000002"/>
    <x v="2"/>
    <x v="0"/>
  </r>
  <r>
    <x v="0"/>
    <x v="10"/>
    <n v="44522"/>
    <x v="3"/>
    <x v="0"/>
    <x v="12"/>
    <x v="0"/>
    <x v="5"/>
    <s v="Bibigo Kimchi cải thảo cây 1kg"/>
    <s v="Túi"/>
    <n v="2"/>
    <n v="2"/>
    <d v="1899-12-31T00:00:00"/>
    <n v="44506"/>
    <s v="Lỗi bục- Phát hiện trong kho"/>
    <n v="96400.645600000003"/>
    <x v="0"/>
    <n v="2"/>
    <n v="96400.645600000003"/>
    <x v="2"/>
    <x v="0"/>
  </r>
  <r>
    <x v="0"/>
    <x v="10"/>
    <n v="44522"/>
    <x v="3"/>
    <x v="0"/>
    <x v="12"/>
    <x v="0"/>
    <x v="30"/>
    <s v="Bibigo Kimchi cải thảo cắt lát 500gr"/>
    <s v="Hộp"/>
    <n v="2"/>
    <n v="1"/>
    <d v="1899-12-30T12:00:00"/>
    <n v="44501"/>
    <s v="Lỗi vỡ- Phát hiện trong kho"/>
    <n v="49100.200400000002"/>
    <x v="0"/>
    <n v="2"/>
    <n v="49100.200400000002"/>
    <x v="2"/>
    <x v="0"/>
  </r>
  <r>
    <x v="0"/>
    <x v="10"/>
    <n v="44522"/>
    <x v="3"/>
    <x v="0"/>
    <x v="12"/>
    <x v="0"/>
    <x v="41"/>
    <s v="Bibigo Kimchi cải thảo chay 500gr"/>
    <s v="Hộp"/>
    <n v="1"/>
    <n v="0.5"/>
    <d v="1899-12-30T12:00:00"/>
    <n v="44499"/>
    <s v="Lỗi vỡ- Phát hiện trong kho"/>
    <n v="24650.2389"/>
    <x v="0"/>
    <n v="1"/>
    <n v="24650.2389"/>
    <x v="2"/>
    <x v="0"/>
  </r>
  <r>
    <x v="0"/>
    <x v="10"/>
    <n v="44522"/>
    <x v="5"/>
    <x v="0"/>
    <x v="3"/>
    <x v="0"/>
    <x v="27"/>
    <s v="Bò viên ngon Cầu Tre 500gr"/>
    <s v="Gói"/>
    <n v="1"/>
    <n v="0.5"/>
    <d v="1899-12-30T12:00:00"/>
    <n v="44800"/>
    <s v="Lỗi long chân không- Phát hiện trong kho"/>
    <n v="40950.081299999998"/>
    <x v="0"/>
    <n v="1"/>
    <n v="40950.081299999998"/>
    <x v="2"/>
    <x v="0"/>
  </r>
  <r>
    <x v="0"/>
    <x v="10"/>
    <n v="44522"/>
    <x v="3"/>
    <x v="0"/>
    <x v="12"/>
    <x v="0"/>
    <x v="42"/>
    <s v="Dưa cải Bibigo 200G"/>
    <s v="Gói"/>
    <n v="2"/>
    <n v="0.4"/>
    <d v="1899-12-30T04:48:00"/>
    <n v="44499"/>
    <s v="Lỗi bục- Giao hàng phát hiện"/>
    <n v="11920.0008"/>
    <x v="0"/>
    <n v="2"/>
    <n v="11920.0008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495"/>
    <s v="Lỗi bục- Giao hàng phát hiện"/>
    <n v="7129.9958999999999"/>
    <x v="0"/>
    <n v="1"/>
    <n v="7129.9958999999999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01"/>
    <s v="Lỗi vỡ- Giao hàng phát hiện"/>
    <n v="24550.100200000001"/>
    <x v="0"/>
    <n v="1"/>
    <n v="24550.100200000001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06"/>
    <s v="Lỗi bục- Giao hàng phát hiện"/>
    <n v="48200.322800000002"/>
    <x v="0"/>
    <n v="1"/>
    <n v="48200.322800000002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06"/>
    <s v="Lỗi mờ date- Giao hàng phát hiện"/>
    <n v="48200.322800000002"/>
    <x v="0"/>
    <n v="1"/>
    <n v="48200.322800000002"/>
    <x v="2"/>
    <x v="0"/>
  </r>
  <r>
    <x v="0"/>
    <x v="10"/>
    <n v="44522"/>
    <x v="0"/>
    <x v="0"/>
    <x v="0"/>
    <x v="0"/>
    <x v="245"/>
    <s v="Chả Giò Real Thịt - 400G"/>
    <s v="Gói"/>
    <n v="1"/>
    <n v="0.4"/>
    <d v="1899-12-30T09:36:00"/>
    <n v="44802"/>
    <s v="Lỗi rách- Giao hàng phát hiện"/>
    <n v="35720.362200000003"/>
    <x v="0"/>
    <n v="1"/>
    <n v="35720.362200000003"/>
    <x v="2"/>
    <x v="0"/>
  </r>
  <r>
    <x v="0"/>
    <x v="10"/>
    <n v="44522"/>
    <x v="1"/>
    <x v="0"/>
    <x v="19"/>
    <x v="0"/>
    <x v="218"/>
    <s v="Cầu Tre Pure bún tươi 300g"/>
    <s v="Gói"/>
    <n v="1"/>
    <n v="0.3"/>
    <d v="1899-12-30T07:12:00"/>
    <n v="44790"/>
    <s v="Lỗi rách- Phát hiện trong kho"/>
    <n v="9589.1175999999996"/>
    <x v="0"/>
    <n v="1"/>
    <n v="9589.1175999999996"/>
    <x v="2"/>
    <x v="0"/>
  </r>
  <r>
    <x v="0"/>
    <x v="10"/>
    <n v="44522"/>
    <x v="3"/>
    <x v="0"/>
    <x v="12"/>
    <x v="0"/>
    <x v="41"/>
    <s v="Bibigo Kimchi cải thảo chay 500gr"/>
    <s v="Hộp"/>
    <n v="1"/>
    <n v="0.5"/>
    <d v="1899-12-30T12:00:00"/>
    <n v="44516"/>
    <s v="lỗi vỡ hộp- Lỗi giao hàng phát hiện"/>
    <n v="24650.2389"/>
    <x v="0"/>
    <n v="1"/>
    <n v="24650.2389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510"/>
    <s v="Lỗi rách- Lỗi giao hàng phát hiện"/>
    <n v="7129.9958999999999"/>
    <x v="0"/>
    <n v="1"/>
    <n v="7129.9958999999999"/>
    <x v="2"/>
    <x v="0"/>
  </r>
  <r>
    <x v="0"/>
    <x v="10"/>
    <n v="44522"/>
    <x v="1"/>
    <x v="0"/>
    <x v="19"/>
    <x v="0"/>
    <x v="334"/>
    <s v="CJ Cautre I’m Rice Cơm chiên Kimchi Khay 150g"/>
    <s v="Khay"/>
    <n v="1"/>
    <n v="0.15"/>
    <d v="1899-12-30T03:36:00"/>
    <n v="44811"/>
    <s v="Lỗi rách- Lỗi giao hàng phát hiện"/>
    <n v="10445.025900000001"/>
    <x v="0"/>
    <n v="1"/>
    <n v="10445.025900000001"/>
    <x v="2"/>
    <x v="0"/>
  </r>
  <r>
    <x v="0"/>
    <x v="10"/>
    <n v="44522"/>
    <x v="3"/>
    <x v="0"/>
    <x v="12"/>
    <x v="0"/>
    <x v="42"/>
    <s v="Dưa cải Bibigo 200G"/>
    <s v="Gói"/>
    <n v="1"/>
    <n v="0.2"/>
    <d v="1899-12-30T04:48:00"/>
    <n v="44509"/>
    <s v="Lỗi bục- Lỗi giao hàng phát hiện"/>
    <n v="5960.0003999999999"/>
    <x v="0"/>
    <n v="1"/>
    <n v="5960.0003999999999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13"/>
    <s v="Lỗi vỡ- Lỗi giao hàng phát hiện"/>
    <n v="24550.100200000001"/>
    <x v="0"/>
    <n v="1"/>
    <n v="24550.100200000001"/>
    <x v="2"/>
    <x v="0"/>
  </r>
  <r>
    <x v="0"/>
    <x v="10"/>
    <n v="44522"/>
    <x v="3"/>
    <x v="0"/>
    <x v="12"/>
    <x v="0"/>
    <x v="41"/>
    <s v="Bibigo Kimchi cải thảo chay 500gr"/>
    <s v="Hộp"/>
    <n v="2"/>
    <n v="1"/>
    <d v="1899-12-30T12:00:00"/>
    <n v="44513"/>
    <s v="Lỗi vỡ- Phát hiện trong kho"/>
    <n v="49300.477800000001"/>
    <x v="0"/>
    <n v="2"/>
    <n v="49300.477800000001"/>
    <x v="2"/>
    <x v="0"/>
  </r>
  <r>
    <x v="0"/>
    <x v="10"/>
    <n v="44522"/>
    <x v="3"/>
    <x v="0"/>
    <x v="12"/>
    <x v="0"/>
    <x v="30"/>
    <s v="Bibigo Kimchi cải thảo cắt lát 500gr"/>
    <s v="Hộp"/>
    <n v="4"/>
    <n v="2"/>
    <d v="1899-12-30T12:00:00"/>
    <n v="44513"/>
    <s v="Lỗi vỡ- Phát hiện trong kho"/>
    <n v="98200.400800000003"/>
    <x v="0"/>
    <n v="4"/>
    <n v="98200.400800000003"/>
    <x v="2"/>
    <x v="0"/>
  </r>
  <r>
    <x v="0"/>
    <x v="10"/>
    <n v="44522"/>
    <x v="3"/>
    <x v="0"/>
    <x v="12"/>
    <x v="0"/>
    <x v="85"/>
    <s v="Bibigo Kimchi cải thảo cắt lát 100gr"/>
    <s v="Túi"/>
    <n v="3"/>
    <n v="0.30000000000000004"/>
    <d v="1899-12-30T02:24:00"/>
    <n v="44510"/>
    <s v="Lỗi bục- Phát hiện trong kho"/>
    <n v="21389.987700000001"/>
    <x v="0"/>
    <n v="3"/>
    <n v="21389.987700000001"/>
    <x v="2"/>
    <x v="0"/>
  </r>
  <r>
    <x v="0"/>
    <x v="10"/>
    <n v="44522"/>
    <x v="3"/>
    <x v="0"/>
    <x v="12"/>
    <x v="0"/>
    <x v="85"/>
    <s v="Bibigo Kimchi cải thảo cắt lát 100gr"/>
    <s v="Túi"/>
    <n v="3"/>
    <n v="0.30000000000000004"/>
    <d v="1899-12-30T02:24:00"/>
    <n v="44513"/>
    <s v="Lỗi bục- Phát hiện trong kho"/>
    <n v="21389.987700000001"/>
    <x v="0"/>
    <n v="3"/>
    <n v="21389.987700000001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10"/>
    <s v="Lỗi bục- Phát hiện trong kho"/>
    <n v="48200.322800000002"/>
    <x v="0"/>
    <n v="1"/>
    <n v="48200.322800000002"/>
    <x v="2"/>
    <x v="0"/>
  </r>
  <r>
    <x v="0"/>
    <x v="10"/>
    <n v="44522"/>
    <x v="3"/>
    <x v="0"/>
    <x v="12"/>
    <x v="0"/>
    <x v="31"/>
    <s v="Bibigo Kimchi cải thảo - ngò 100gr"/>
    <s v="Túi"/>
    <n v="2"/>
    <n v="0.2"/>
    <d v="1899-12-30T02:24:00"/>
    <n v="44516"/>
    <s v="Lỗi bục- Phát hiện trong kho"/>
    <n v="14459.642"/>
    <x v="0"/>
    <n v="2"/>
    <n v="14459.642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13"/>
    <s v="Lỗi bục- Phát hiện trong kho"/>
    <n v="48200.322800000002"/>
    <x v="0"/>
    <n v="1"/>
    <n v="48200.322800000002"/>
    <x v="2"/>
    <x v="0"/>
  </r>
  <r>
    <x v="0"/>
    <x v="10"/>
    <n v="44522"/>
    <x v="3"/>
    <x v="0"/>
    <x v="12"/>
    <x v="0"/>
    <x v="30"/>
    <s v="Bibigo Kimchi cải thảo cắt lát 500gr"/>
    <s v="Hộp"/>
    <n v="2"/>
    <n v="1"/>
    <d v="1899-12-30T12:00:00"/>
    <n v="44516"/>
    <s v="Lỗi vỡ- Phát hiện trong kho"/>
    <n v="49100.200400000002"/>
    <x v="0"/>
    <n v="2"/>
    <n v="49100.200400000002"/>
    <x v="2"/>
    <x v="0"/>
  </r>
  <r>
    <x v="0"/>
    <x v="10"/>
    <n v="44522"/>
    <x v="3"/>
    <x v="0"/>
    <x v="12"/>
    <x v="0"/>
    <x v="41"/>
    <s v="Bibigo Kimchi cải thảo chay 500gr"/>
    <s v="Hộp"/>
    <n v="2"/>
    <n v="1"/>
    <d v="1899-12-30T12:00:00"/>
    <n v="44513"/>
    <s v="Lỗi vỡ- Phát hiện trong kho"/>
    <n v="49300.477800000001"/>
    <x v="0"/>
    <n v="2"/>
    <n v="49300.477800000001"/>
    <x v="2"/>
    <x v="0"/>
  </r>
  <r>
    <x v="0"/>
    <x v="10"/>
    <n v="44522"/>
    <x v="3"/>
    <x v="0"/>
    <x v="12"/>
    <x v="0"/>
    <x v="41"/>
    <s v="Bibigo Kimchi cải thảo chay 500gr"/>
    <s v="Hộp"/>
    <n v="1"/>
    <n v="0.5"/>
    <d v="1899-12-30T12:00:00"/>
    <n v="44516"/>
    <s v="Lỗi vỡ- Phát hiện trong kho"/>
    <n v="24650.2389"/>
    <x v="0"/>
    <n v="1"/>
    <n v="24650.2389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509"/>
    <s v="Lỗi bục- Lỗi giao hàng phát hiện"/>
    <n v="7129.9958999999999"/>
    <x v="0"/>
    <n v="1"/>
    <n v="7129.9958999999999"/>
    <x v="2"/>
    <x v="0"/>
  </r>
  <r>
    <x v="0"/>
    <x v="10"/>
    <n v="44522"/>
    <x v="0"/>
    <x v="0"/>
    <x v="18"/>
    <x v="0"/>
    <x v="168"/>
    <s v="Bánh Mandu Thịt CJ Bibigo - Gói 175g"/>
    <s v="Gói"/>
    <n v="2"/>
    <n v="0.35"/>
    <d v="1899-12-30T04:12:00"/>
    <n v="44790"/>
    <s v="Lỗi bục- Lỗi giao hàng phát hiện"/>
    <n v="25805.091199999999"/>
    <x v="0"/>
    <n v="2"/>
    <n v="25805.091199999999"/>
    <x v="2"/>
    <x v="0"/>
  </r>
  <r>
    <x v="0"/>
    <x v="10"/>
    <n v="44522"/>
    <x v="3"/>
    <x v="0"/>
    <x v="12"/>
    <x v="0"/>
    <x v="85"/>
    <s v="Bibigo Kimchi cải thảo cắt lát 100gr"/>
    <s v="Túi"/>
    <n v="2"/>
    <n v="0.2"/>
    <d v="1899-12-30T02:24:00"/>
    <n v="44517"/>
    <s v="Lỗi bục- Lỗi giao hàng phát hiện"/>
    <n v="14259.9918"/>
    <x v="0"/>
    <n v="2"/>
    <n v="14259.9918"/>
    <x v="2"/>
    <x v="0"/>
  </r>
  <r>
    <x v="0"/>
    <x v="10"/>
    <n v="44522"/>
    <x v="0"/>
    <x v="0"/>
    <x v="18"/>
    <x v="0"/>
    <x v="111"/>
    <s v="Bánh Mandu Thịt và Bắp CJ Bibigo – Gói 350g"/>
    <s v="Gói"/>
    <n v="3"/>
    <n v="1.0499999999999998"/>
    <d v="1899-12-30T08:24:00"/>
    <n v="44764"/>
    <s v="lỗi rách- Hủy tại ST"/>
    <n v="81615.047099999996"/>
    <x v="0"/>
    <n v="3"/>
    <n v="81615.047099999996"/>
    <x v="2"/>
    <x v="0"/>
  </r>
  <r>
    <x v="0"/>
    <x v="10"/>
    <n v="44522"/>
    <x v="5"/>
    <x v="0"/>
    <x v="19"/>
    <x v="0"/>
    <x v="335"/>
    <s v="Nem Nướng - Gói 250G"/>
    <s v="Gói"/>
    <n v="1"/>
    <n v="0.25"/>
    <d v="1899-12-30T06:00:00"/>
    <n v="44796"/>
    <s v="Lỗi rách- Hủy tại ST"/>
    <n v="23175.013299999999"/>
    <x v="0"/>
    <n v="1"/>
    <n v="23175.013299999999"/>
    <x v="2"/>
    <x v="0"/>
  </r>
  <r>
    <x v="0"/>
    <x v="10"/>
    <n v="44522"/>
    <x v="3"/>
    <x v="0"/>
    <x v="12"/>
    <x v="0"/>
    <x v="30"/>
    <s v="Bibigo Kimchi cải thảo cắt lát 500gr"/>
    <s v="Hộp"/>
    <n v="2"/>
    <n v="1"/>
    <d v="1899-12-30T12:00:00"/>
    <n v="44516"/>
    <s v="lỗi vỡ- Hủy tại ST"/>
    <n v="49100.200400000002"/>
    <x v="0"/>
    <n v="2"/>
    <n v="49100.200400000002"/>
    <x v="2"/>
    <x v="0"/>
  </r>
  <r>
    <x v="0"/>
    <x v="10"/>
    <n v="44522"/>
    <x v="3"/>
    <x v="0"/>
    <x v="12"/>
    <x v="0"/>
    <x v="85"/>
    <s v="Bibigo Kimchi cải thảo cắt lát 100gr"/>
    <s v="Túi"/>
    <n v="2"/>
    <n v="0.2"/>
    <d v="1899-12-30T02:24:00"/>
    <n v="44517"/>
    <s v="Lỗi bục- Hủy tại ST"/>
    <n v="14259.9918"/>
    <x v="0"/>
    <n v="2"/>
    <n v="14259.9918"/>
    <x v="2"/>
    <x v="0"/>
  </r>
  <r>
    <x v="0"/>
    <x v="10"/>
    <n v="44522"/>
    <x v="3"/>
    <x v="0"/>
    <x v="12"/>
    <x v="0"/>
    <x v="42"/>
    <s v="Dưa cải Bibigo 200G"/>
    <s v="Gói"/>
    <n v="2"/>
    <n v="0.4"/>
    <d v="1899-12-30T04:48:00"/>
    <n v="44515"/>
    <s v="Lỗi bục- Hủy tại ST"/>
    <n v="11920.0008"/>
    <x v="0"/>
    <n v="2"/>
    <n v="11920.0008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16"/>
    <s v="Lỗi bục- Hủy tại ST"/>
    <n v="7229.8209999999999"/>
    <x v="0"/>
    <n v="1"/>
    <n v="7229.8209999999999"/>
    <x v="2"/>
    <x v="0"/>
  </r>
  <r>
    <x v="0"/>
    <x v="10"/>
    <n v="44522"/>
    <x v="3"/>
    <x v="0"/>
    <x v="12"/>
    <x v="0"/>
    <x v="68"/>
    <s v="Bibigo Kimchi cải thảo - ngò 500gr"/>
    <s v="Hộp"/>
    <n v="2"/>
    <n v="1"/>
    <d v="1899-12-30T12:00:00"/>
    <n v="44515"/>
    <s v="lỗi vỡ- Hủy tại ST"/>
    <n v="52300.948600000003"/>
    <x v="0"/>
    <n v="2"/>
    <n v="52300.948600000003"/>
    <x v="2"/>
    <x v="0"/>
  </r>
  <r>
    <x v="0"/>
    <x v="10"/>
    <n v="44522"/>
    <x v="3"/>
    <x v="0"/>
    <x v="12"/>
    <x v="0"/>
    <x v="5"/>
    <s v="Bibigo Kimchi cải thảo cây 1kg"/>
    <s v="Túi"/>
    <n v="2"/>
    <n v="2"/>
    <d v="1899-12-31T00:00:00"/>
    <n v="44513"/>
    <s v="lỗi mờ date- Hủy tại ST"/>
    <n v="96400.645600000003"/>
    <x v="0"/>
    <n v="2"/>
    <n v="96400.645600000003"/>
    <x v="2"/>
    <x v="0"/>
  </r>
  <r>
    <x v="0"/>
    <x v="10"/>
    <n v="44522"/>
    <x v="3"/>
    <x v="0"/>
    <x v="12"/>
    <x v="0"/>
    <x v="41"/>
    <s v="Bibigo Kimchi cải thảo chay 500gr"/>
    <s v="Hộp"/>
    <n v="4"/>
    <n v="2"/>
    <d v="1899-12-30T12:00:00"/>
    <n v="44518"/>
    <s v="lỗi vỡ- Hủy tại ST"/>
    <n v="98600.955600000001"/>
    <x v="0"/>
    <n v="4"/>
    <n v="98600.955600000001"/>
    <x v="2"/>
    <x v="0"/>
  </r>
  <r>
    <x v="0"/>
    <x v="10"/>
    <n v="44522"/>
    <x v="3"/>
    <x v="0"/>
    <x v="12"/>
    <x v="0"/>
    <x v="30"/>
    <s v="Bibigo Kimchi cải thảo cắt lát 500gr"/>
    <s v="Hộp"/>
    <n v="3"/>
    <n v="1.5"/>
    <d v="1899-12-30T12:00:00"/>
    <n v="44520"/>
    <s v="lỗi vỡ- Hủy tại ST"/>
    <n v="73650.300600000002"/>
    <x v="0"/>
    <n v="3"/>
    <n v="73650.300600000002"/>
    <x v="2"/>
    <x v="0"/>
  </r>
  <r>
    <x v="0"/>
    <x v="10"/>
    <n v="44522"/>
    <x v="0"/>
    <x v="0"/>
    <x v="18"/>
    <x v="0"/>
    <x v="111"/>
    <s v="Bánh Mandu Thịt và Bắp CJ Bibigo – Gói 350g"/>
    <s v="Gói"/>
    <n v="1"/>
    <n v="0.35"/>
    <d v="1899-12-30T08:24:00"/>
    <n v="44793"/>
    <s v="Lỗi rách- Hủy tại ST"/>
    <n v="27205.0157"/>
    <x v="0"/>
    <n v="1"/>
    <n v="27205.0157"/>
    <x v="2"/>
    <x v="0"/>
  </r>
  <r>
    <x v="0"/>
    <x v="10"/>
    <n v="44522"/>
    <x v="1"/>
    <x v="0"/>
    <x v="19"/>
    <x v="0"/>
    <x v="334"/>
    <s v="CJ Cautre I’m Rice Cơm chiên Kimchi Khay 150g"/>
    <s v="Khay"/>
    <n v="3"/>
    <n v="0.45"/>
    <d v="1899-12-30T03:36:00"/>
    <n v="44817"/>
    <s v="Lỗi bục- Hủy tại ST"/>
    <n v="31335.077700000002"/>
    <x v="0"/>
    <n v="3"/>
    <n v="31335.077700000002"/>
    <x v="2"/>
    <x v="0"/>
  </r>
  <r>
    <x v="0"/>
    <x v="10"/>
    <n v="44522"/>
    <x v="3"/>
    <x v="0"/>
    <x v="12"/>
    <x v="0"/>
    <x v="5"/>
    <s v="Bibigo Kimchi cải thảo cây 1kg"/>
    <s v="Túi"/>
    <n v="3"/>
    <n v="3"/>
    <d v="1899-12-31T00:00:00"/>
    <n v="44523"/>
    <s v="lỗi mờ date- Hủy tại ST"/>
    <n v="144600.96840000001"/>
    <x v="0"/>
    <n v="3"/>
    <n v="144600.96840000001"/>
    <x v="2"/>
    <x v="0"/>
  </r>
  <r>
    <x v="0"/>
    <x v="10"/>
    <n v="44522"/>
    <x v="0"/>
    <x v="0"/>
    <x v="18"/>
    <x v="0"/>
    <x v="129"/>
    <s v="Bánh Mandu Hải sản CJ Bibigo - Gói 175g"/>
    <s v="Gói"/>
    <n v="7"/>
    <n v="1.2250000000000001"/>
    <d v="1899-12-30T04:12:00"/>
    <n v="44790"/>
    <s v="Lỗi mờ date- Giao hàng phát hiện"/>
    <n v="102217.57490000001"/>
    <x v="0"/>
    <n v="7"/>
    <n v="102217.57490000001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520"/>
    <s v="Lỗi bục- Giao hàng phát hiện"/>
    <n v="7129.9988000000003"/>
    <x v="0"/>
    <n v="1"/>
    <n v="7129.9988000000003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24"/>
    <s v="Lỗi bục- Giao hàng phát hiện"/>
    <n v="48200.041100000002"/>
    <x v="0"/>
    <n v="1"/>
    <n v="48200.041100000002"/>
    <x v="2"/>
    <x v="0"/>
  </r>
  <r>
    <x v="0"/>
    <x v="10"/>
    <n v="44522"/>
    <x v="5"/>
    <x v="0"/>
    <x v="3"/>
    <x v="0"/>
    <x v="27"/>
    <s v="Bò viên ngon Cầu Tre 500gr"/>
    <s v="Gói"/>
    <n v="5"/>
    <n v="2.5"/>
    <d v="1899-12-30T12:00:00"/>
    <n v="44812"/>
    <s v="Lỗi long chân không- Phát hiện trong kho"/>
    <n v="204750.03750000001"/>
    <x v="0"/>
    <n v="5"/>
    <n v="204750.03750000001"/>
    <x v="2"/>
    <x v="0"/>
  </r>
  <r>
    <x v="0"/>
    <x v="10"/>
    <n v="44522"/>
    <x v="1"/>
    <x v="0"/>
    <x v="19"/>
    <x v="0"/>
    <x v="333"/>
    <s v="CJ Cautre I’m Rice Cơm chiên Hải Sản Khay 150g"/>
    <s v="Khay"/>
    <n v="8"/>
    <n v="1.2"/>
    <d v="1899-12-30T03:36:00"/>
    <n v="44817"/>
    <s v="Lỗi rách- Phát hiện trong kho"/>
    <n v="87560.524000000005"/>
    <x v="0"/>
    <n v="8"/>
    <n v="87560.524000000005"/>
    <x v="2"/>
    <x v="0"/>
  </r>
  <r>
    <x v="0"/>
    <x v="10"/>
    <n v="44522"/>
    <x v="0"/>
    <x v="0"/>
    <x v="19"/>
    <x v="0"/>
    <x v="337"/>
    <s v="Nem Real Kiểu Hà Nội Nhân Thịt - Gói 360G"/>
    <s v="Gói"/>
    <n v="2"/>
    <n v="0.72"/>
    <d v="1899-12-30T08:38:24"/>
    <n v="44796"/>
    <s v="Lỗi bục- Phát hiện trong kho"/>
    <n v="60856.042800000003"/>
    <x v="0"/>
    <n v="2"/>
    <n v="60856.042800000003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30"/>
    <s v="Lỗi bục- Giao hàng phát hiện"/>
    <n v="7229.9624000000003"/>
    <x v="0"/>
    <n v="1"/>
    <n v="7229.9624000000003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27"/>
    <s v="Lỗi bục- Phát hiện trong kho"/>
    <n v="48200.041100000002"/>
    <x v="0"/>
    <n v="1"/>
    <n v="48200.041100000002"/>
    <x v="2"/>
    <x v="0"/>
  </r>
  <r>
    <x v="0"/>
    <x v="10"/>
    <n v="44522"/>
    <x v="3"/>
    <x v="0"/>
    <x v="12"/>
    <x v="0"/>
    <x v="31"/>
    <s v="Bibigo Kimchi cải thảo - ngò 100gr"/>
    <s v="Túi"/>
    <n v="2"/>
    <n v="0.2"/>
    <d v="1899-12-30T02:24:00"/>
    <n v="44530"/>
    <s v="Lỗi bục- Phát hiện trong kho"/>
    <n v="14459.924800000001"/>
    <x v="0"/>
    <n v="2"/>
    <n v="14459.924800000001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520"/>
    <s v="Lỗi bục- Phát hiện trong kho"/>
    <n v="7129.9988000000003"/>
    <x v="0"/>
    <n v="1"/>
    <n v="7129.9988000000003"/>
    <x v="2"/>
    <x v="0"/>
  </r>
  <r>
    <x v="0"/>
    <x v="10"/>
    <n v="44522"/>
    <x v="3"/>
    <x v="0"/>
    <x v="12"/>
    <x v="0"/>
    <x v="41"/>
    <s v="Bibigo Kimchi cải thảo chay 500gr"/>
    <s v="Hộp"/>
    <n v="1"/>
    <n v="0.5"/>
    <d v="1899-12-30T12:00:00"/>
    <n v="44530"/>
    <s v="Lỗi vỡ- Phát hiện trong kho"/>
    <n v="24650.036800000002"/>
    <x v="0"/>
    <n v="1"/>
    <n v="24650.036800000002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24"/>
    <s v="Lỗi vỡ- Phát hiện trong kho"/>
    <n v="24550.012999999999"/>
    <x v="0"/>
    <n v="1"/>
    <n v="24550.012999999999"/>
    <x v="2"/>
    <x v="0"/>
  </r>
  <r>
    <x v="0"/>
    <x v="10"/>
    <n v="44522"/>
    <x v="1"/>
    <x v="0"/>
    <x v="19"/>
    <x v="0"/>
    <x v="333"/>
    <s v="CJ Cautre I’m Rice Cơm chiên Hải Sản Khay 150g"/>
    <s v="Khay"/>
    <n v="1"/>
    <n v="0.15"/>
    <d v="1899-12-30T03:36:00"/>
    <n v="44832"/>
    <s v="Lỗi bục- Giao hàng phát hiện"/>
    <n v="10945.065500000001"/>
    <x v="0"/>
    <n v="1"/>
    <n v="10945.065500000001"/>
    <x v="2"/>
    <x v="0"/>
  </r>
  <r>
    <x v="0"/>
    <x v="10"/>
    <n v="44522"/>
    <x v="0"/>
    <x v="0"/>
    <x v="18"/>
    <x v="0"/>
    <x v="168"/>
    <s v="Bánh Mandu Thịt CJ Bibigo - Gói 175g"/>
    <s v="Gói"/>
    <n v="1"/>
    <n v="0.17499999999999999"/>
    <d v="1899-12-30T04:12:00"/>
    <n v="44789"/>
    <s v="Lỗi bục- Giao hàng phát hiện"/>
    <n v="12902.500700000001"/>
    <x v="0"/>
    <n v="1"/>
    <n v="12902.500700000001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30"/>
    <s v="Lỗi rách- Phát hiện trong kho"/>
    <n v="7229.9624000000003"/>
    <x v="0"/>
    <n v="1"/>
    <n v="7229.9624000000003"/>
    <x v="2"/>
    <x v="0"/>
  </r>
  <r>
    <x v="0"/>
    <x v="10"/>
    <n v="44522"/>
    <x v="3"/>
    <x v="0"/>
    <x v="12"/>
    <x v="0"/>
    <x v="41"/>
    <s v="Bibigo Kimchi cải thảo chay 500gr"/>
    <s v="Hộp"/>
    <n v="2"/>
    <n v="1"/>
    <d v="1899-12-30T12:00:00"/>
    <n v="44532"/>
    <s v="Lỗi vỡ- Phát hiện trong kho"/>
    <n v="49300.073600000003"/>
    <x v="0"/>
    <n v="2"/>
    <n v="49300.073600000003"/>
    <x v="2"/>
    <x v="0"/>
  </r>
  <r>
    <x v="0"/>
    <x v="10"/>
    <n v="44522"/>
    <x v="3"/>
    <x v="0"/>
    <x v="12"/>
    <x v="0"/>
    <x v="41"/>
    <s v="Bibigo Kimchi cải thảo chay 500gr"/>
    <s v="Hộp"/>
    <n v="2"/>
    <n v="1"/>
    <d v="1899-12-30T12:00:00"/>
    <n v="44535"/>
    <s v="Lỗi vỡ- Phát hiện trong kho"/>
    <n v="49300.073600000003"/>
    <x v="0"/>
    <n v="2"/>
    <n v="49300.073600000003"/>
    <x v="2"/>
    <x v="0"/>
  </r>
  <r>
    <x v="0"/>
    <x v="10"/>
    <n v="44522"/>
    <x v="3"/>
    <x v="0"/>
    <x v="12"/>
    <x v="0"/>
    <x v="68"/>
    <s v="Bibigo Kimchi cải thảo - ngò 500gr"/>
    <s v="Hộp"/>
    <n v="2"/>
    <n v="1"/>
    <d v="1899-12-30T12:00:00"/>
    <n v="44532"/>
    <s v="Lỗi vỡ- Phát hiện trong kho"/>
    <n v="52300.180800000002"/>
    <x v="0"/>
    <n v="2"/>
    <n v="52300.180800000002"/>
    <x v="2"/>
    <x v="0"/>
  </r>
  <r>
    <x v="0"/>
    <x v="10"/>
    <n v="44522"/>
    <x v="3"/>
    <x v="0"/>
    <x v="12"/>
    <x v="0"/>
    <x v="42"/>
    <s v="Dưa cải Bibigo 200G"/>
    <s v="Gói"/>
    <n v="1"/>
    <n v="0.2"/>
    <d v="1899-12-30T04:48:00"/>
    <n v="44528"/>
    <s v="Lỗi bục- Phát hiện trong kho"/>
    <n v="5960"/>
    <x v="0"/>
    <n v="1"/>
    <n v="5960"/>
    <x v="2"/>
    <x v="0"/>
  </r>
  <r>
    <x v="0"/>
    <x v="10"/>
    <n v="44522"/>
    <x v="3"/>
    <x v="0"/>
    <x v="12"/>
    <x v="0"/>
    <x v="68"/>
    <s v="Bibigo Kimchi cải thảo - ngò 500gr"/>
    <s v="Hộp"/>
    <n v="1"/>
    <n v="0.5"/>
    <d v="1899-12-30T12:00:00"/>
    <n v="44532"/>
    <s v="Lỗi bục- Giao hàng phát hiện"/>
    <n v="26150.090400000001"/>
    <x v="0"/>
    <n v="1"/>
    <n v="26150.090400000001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29"/>
    <s v="Lỗi bục- Giao hàng phát hiện"/>
    <n v="48200.041100000002"/>
    <x v="0"/>
    <n v="1"/>
    <n v="48200.041100000002"/>
    <x v="2"/>
    <x v="0"/>
  </r>
  <r>
    <x v="0"/>
    <x v="10"/>
    <n v="44522"/>
    <x v="3"/>
    <x v="0"/>
    <x v="12"/>
    <x v="0"/>
    <x v="30"/>
    <s v="Bibigo Kimchi cải thảo cắt lát 500gr"/>
    <s v="Hộp"/>
    <n v="2"/>
    <n v="1"/>
    <d v="1899-12-30T12:00:00"/>
    <n v="44541"/>
    <s v="Lỗi vỡ- Phát hiện trong kho"/>
    <n v="49100.025999999998"/>
    <x v="0"/>
    <n v="2"/>
    <n v="49100.025999999998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44"/>
    <s v="Lỗi vỡ- Phát hiện trong kho"/>
    <n v="24550.012999999999"/>
    <x v="0"/>
    <n v="1"/>
    <n v="24550.012999999999"/>
    <x v="2"/>
    <x v="0"/>
  </r>
  <r>
    <x v="0"/>
    <x v="10"/>
    <n v="44522"/>
    <x v="3"/>
    <x v="0"/>
    <x v="12"/>
    <x v="0"/>
    <x v="41"/>
    <s v="Bibigo Kimchi cải thảo chay 500gr"/>
    <s v="Hộp"/>
    <n v="1"/>
    <n v="0.5"/>
    <d v="1899-12-30T12:00:00"/>
    <n v="44541"/>
    <s v="Lỗi vỡ- Phát hiện trong kho"/>
    <n v="24650.036800000002"/>
    <x v="0"/>
    <n v="1"/>
    <n v="24650.036800000002"/>
    <x v="2"/>
    <x v="0"/>
  </r>
  <r>
    <x v="0"/>
    <x v="10"/>
    <n v="44522"/>
    <x v="3"/>
    <x v="0"/>
    <x v="12"/>
    <x v="0"/>
    <x v="41"/>
    <s v="Bibigo Kimchi cải thảo chay 500gr"/>
    <s v="Hộp"/>
    <n v="1"/>
    <n v="0.5"/>
    <d v="1899-12-30T12:00:00"/>
    <n v="44544"/>
    <s v="Lỗi vỡ- Phát hiện trong kho"/>
    <n v="24650.036800000002"/>
    <x v="0"/>
    <n v="1"/>
    <n v="24650.036800000002"/>
    <x v="2"/>
    <x v="0"/>
  </r>
  <r>
    <x v="0"/>
    <x v="10"/>
    <n v="44522"/>
    <x v="3"/>
    <x v="0"/>
    <x v="12"/>
    <x v="0"/>
    <x v="68"/>
    <s v="Bibigo Kimchi cải thảo - ngò 500gr"/>
    <s v="Hộp"/>
    <n v="3"/>
    <n v="1.5"/>
    <d v="1899-12-30T12:00:00"/>
    <n v="44535"/>
    <s v="Lỗi vỡ- Phát hiện trong kho"/>
    <n v="78450.271200000003"/>
    <x v="0"/>
    <n v="3"/>
    <n v="78450.271200000003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34"/>
    <s v="Lỗi bục- Phát hiện trong kho"/>
    <n v="7229.9624000000003"/>
    <x v="0"/>
    <n v="1"/>
    <n v="7229.9624000000003"/>
    <x v="2"/>
    <x v="0"/>
  </r>
  <r>
    <x v="0"/>
    <x v="10"/>
    <n v="44522"/>
    <x v="0"/>
    <x v="0"/>
    <x v="18"/>
    <x v="0"/>
    <x v="168"/>
    <s v="Bánh Mandu Thịt CJ Bibigo - Gói 175g"/>
    <s v="Gói"/>
    <n v="1"/>
    <n v="0.17499999999999999"/>
    <d v="1899-12-30T04:12:00"/>
    <n v="44790"/>
    <s v="Lỗi mờ date- Giao hàng phát hiện"/>
    <n v="12902.500700000001"/>
    <x v="0"/>
    <n v="1"/>
    <n v="12902.500700000001"/>
    <x v="2"/>
    <x v="0"/>
  </r>
  <r>
    <x v="0"/>
    <x v="10"/>
    <n v="44522"/>
    <x v="0"/>
    <x v="0"/>
    <x v="18"/>
    <x v="0"/>
    <x v="246"/>
    <s v="Bánh Mandu Thịt và Bắp CJ Bibigo – Gói 175g"/>
    <s v="Gói"/>
    <n v="2"/>
    <n v="0.35"/>
    <d v="1899-12-30T04:12:00"/>
    <n v="44793"/>
    <s v="Lỗi mờ date- Giao hàng phát hiện"/>
    <n v="30404.9948"/>
    <x v="0"/>
    <n v="2"/>
    <n v="30404.9948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44"/>
    <s v="Lỗi vỡ- Giao hàng phát hiện"/>
    <n v="24550.012999999999"/>
    <x v="0"/>
    <n v="1"/>
    <n v="24550.012999999999"/>
    <x v="2"/>
    <x v="0"/>
  </r>
  <r>
    <x v="0"/>
    <x v="10"/>
    <n v="44522"/>
    <x v="3"/>
    <x v="0"/>
    <x v="12"/>
    <x v="0"/>
    <x v="68"/>
    <s v="Bibigo Kimchi cải thảo - ngò 500gr"/>
    <s v="Hộp"/>
    <n v="1"/>
    <n v="0.5"/>
    <d v="1899-12-30T12:00:00"/>
    <n v="44535"/>
    <s v="Lỗi vỡ- Phát hiện trong kho"/>
    <n v="26150.090400000001"/>
    <x v="0"/>
    <n v="1"/>
    <n v="26150.090400000001"/>
    <x v="2"/>
    <x v="0"/>
  </r>
  <r>
    <x v="0"/>
    <x v="10"/>
    <n v="44522"/>
    <x v="3"/>
    <x v="0"/>
    <x v="12"/>
    <x v="0"/>
    <x v="68"/>
    <s v="Bibigo Kimchi cải thảo - ngò 500gr"/>
    <s v="Hộp"/>
    <n v="1"/>
    <n v="0.5"/>
    <d v="1899-12-30T12:00:00"/>
    <n v="44548"/>
    <s v="Lỗi vỡ- Phát hiện trong kho"/>
    <n v="26150.090400000001"/>
    <x v="0"/>
    <n v="1"/>
    <n v="26150.090400000001"/>
    <x v="2"/>
    <x v="0"/>
  </r>
  <r>
    <x v="0"/>
    <x v="10"/>
    <n v="44522"/>
    <x v="3"/>
    <x v="0"/>
    <x v="12"/>
    <x v="0"/>
    <x v="41"/>
    <s v="Bibigo Kimchi cải thảo chay 500gr"/>
    <s v="Hộp"/>
    <n v="2"/>
    <n v="1"/>
    <d v="1899-12-30T12:00:00"/>
    <n v="44552"/>
    <s v="Lỗi vỡ- Phát hiện trong kho"/>
    <n v="49300.073600000003"/>
    <x v="0"/>
    <n v="2"/>
    <n v="49300.073600000003"/>
    <x v="2"/>
    <x v="0"/>
  </r>
  <r>
    <x v="0"/>
    <x v="10"/>
    <n v="44522"/>
    <x v="3"/>
    <x v="0"/>
    <x v="12"/>
    <x v="0"/>
    <x v="30"/>
    <s v="Bibigo Kimchi cải thảo cắt lát 500gr"/>
    <s v="Hộp"/>
    <n v="2"/>
    <n v="1"/>
    <d v="1899-12-30T12:00:00"/>
    <n v="44549"/>
    <s v="Lỗi vỡ- Phát hiện trong kho"/>
    <n v="49100.025999999998"/>
    <x v="0"/>
    <n v="2"/>
    <n v="49100.025999999998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51"/>
    <s v="Lỗi vỡ- Phát hiện trong kho"/>
    <n v="24550.012999999999"/>
    <x v="0"/>
    <n v="1"/>
    <n v="24550.012999999999"/>
    <x v="2"/>
    <x v="0"/>
  </r>
  <r>
    <x v="0"/>
    <x v="10"/>
    <n v="44522"/>
    <x v="3"/>
    <x v="0"/>
    <x v="12"/>
    <x v="0"/>
    <x v="85"/>
    <s v="Bibigo Kimchi cải thảo cắt lát 100gr"/>
    <s v="Túi"/>
    <n v="2"/>
    <n v="0.2"/>
    <d v="1899-12-30T02:24:00"/>
    <n v="44545"/>
    <s v="Lỗi rách- Phát hiện trong kho"/>
    <n v="14259.997600000001"/>
    <x v="0"/>
    <n v="2"/>
    <n v="14259.997600000001"/>
    <x v="2"/>
    <x v="0"/>
  </r>
  <r>
    <x v="0"/>
    <x v="10"/>
    <n v="44522"/>
    <x v="3"/>
    <x v="0"/>
    <x v="12"/>
    <x v="0"/>
    <x v="31"/>
    <s v="Bibigo Kimchi cải thảo - ngò 100gr"/>
    <s v="Túi"/>
    <n v="2"/>
    <n v="0.2"/>
    <d v="1899-12-30T02:24:00"/>
    <n v="44546"/>
    <s v="Lỗi rách- Phát hiện trong kho"/>
    <n v="14459.924800000001"/>
    <x v="0"/>
    <n v="2"/>
    <n v="14459.924800000001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50"/>
    <s v="Lỗi rách- Phát hiện trong kho"/>
    <n v="7229.9624000000003"/>
    <x v="0"/>
    <n v="1"/>
    <n v="7229.9624000000003"/>
    <x v="2"/>
    <x v="0"/>
  </r>
  <r>
    <x v="0"/>
    <x v="10"/>
    <n v="44522"/>
    <x v="7"/>
    <x v="0"/>
    <x v="13"/>
    <x v="0"/>
    <x v="82"/>
    <s v="Bột Chiên Giòn 150G"/>
    <s v="Túi"/>
    <n v="3"/>
    <n v="0.45"/>
    <d v="1899-12-30T03:36:00"/>
    <n v="44674"/>
    <s v="Lỗi rách- Phát hiện trong kho"/>
    <n v="11953.7163"/>
    <x v="0"/>
    <n v="3"/>
    <n v="11953.7163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45"/>
    <s v="Lỗi bục- Giao hàng phát hiện"/>
    <n v="24550.012999999999"/>
    <x v="0"/>
    <n v="1"/>
    <n v="24550.012999999999"/>
    <x v="2"/>
    <x v="0"/>
  </r>
  <r>
    <x v="0"/>
    <x v="10"/>
    <n v="44522"/>
    <x v="3"/>
    <x v="0"/>
    <x v="12"/>
    <x v="0"/>
    <x v="68"/>
    <s v="Bibigo Kimchi cải thảo - ngò 500gr"/>
    <s v="Hộp"/>
    <n v="1"/>
    <n v="0.5"/>
    <d v="1899-12-30T12:00:00"/>
    <n v="44543"/>
    <s v="Lỗi bục- Giao hàng phát hiện"/>
    <n v="26150.090400000001"/>
    <x v="0"/>
    <n v="1"/>
    <n v="26150.090400000001"/>
    <x v="2"/>
    <x v="0"/>
  </r>
  <r>
    <x v="0"/>
    <x v="10"/>
    <n v="44522"/>
    <x v="3"/>
    <x v="0"/>
    <x v="12"/>
    <x v="0"/>
    <x v="5"/>
    <s v="Bibigo Kimchi cải thảo cây 1kg"/>
    <s v="Túi"/>
    <n v="2"/>
    <n v="2"/>
    <d v="1899-12-31T00:00:00"/>
    <n v="44548"/>
    <s v="Lỗi mờ date- Giao hàng phát hiện"/>
    <n v="96400.082200000004"/>
    <x v="0"/>
    <n v="2"/>
    <n v="96400.082200000004"/>
    <x v="2"/>
    <x v="0"/>
  </r>
  <r>
    <x v="0"/>
    <x v="10"/>
    <n v="44522"/>
    <x v="3"/>
    <x v="0"/>
    <x v="12"/>
    <x v="0"/>
    <x v="5"/>
    <s v="Bibigo Kimchi cải thảo cây 1kg"/>
    <s v="Túi"/>
    <n v="2"/>
    <n v="2"/>
    <d v="1899-12-31T00:00:00"/>
    <n v="44551"/>
    <s v="Lỗi mờ date- Giao hàng phát hiện"/>
    <n v="96400.082200000004"/>
    <x v="0"/>
    <n v="2"/>
    <n v="96400.082200000004"/>
    <x v="2"/>
    <x v="0"/>
  </r>
  <r>
    <x v="0"/>
    <x v="10"/>
    <n v="44522"/>
    <x v="3"/>
    <x v="0"/>
    <x v="12"/>
    <x v="0"/>
    <x v="85"/>
    <s v="Bibigo Kimchi cải thảo cắt lát 100gr"/>
    <s v="Túi"/>
    <n v="2"/>
    <n v="0.2"/>
    <d v="1899-12-30T02:24:00"/>
    <n v="44550"/>
    <s v="Lỗi bục- Giao hàng phát hiện"/>
    <n v="14259.997600000001"/>
    <x v="0"/>
    <n v="2"/>
    <n v="14259.997600000001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50"/>
    <s v="Lỗi bục- Giao hàng phát hiện"/>
    <n v="7229.9624000000003"/>
    <x v="0"/>
    <n v="1"/>
    <n v="7229.9624000000003"/>
    <x v="2"/>
    <x v="0"/>
  </r>
  <r>
    <x v="0"/>
    <x v="10"/>
    <n v="44522"/>
    <x v="1"/>
    <x v="0"/>
    <x v="19"/>
    <x v="0"/>
    <x v="306"/>
    <s v="Cầu Tre Pure bánh tráng gỏi cuốn 280g"/>
    <s v="Gói"/>
    <n v="1"/>
    <n v="0.28000000000000003"/>
    <d v="1899-12-30T06:43:12"/>
    <n v="44826"/>
    <s v="Lỗi rách- Phát hiện trong kho"/>
    <n v="10643.691000000001"/>
    <x v="0"/>
    <n v="1"/>
    <n v="10643.691000000001"/>
    <x v="2"/>
    <x v="0"/>
  </r>
  <r>
    <x v="0"/>
    <x v="10"/>
    <n v="44522"/>
    <x v="1"/>
    <x v="0"/>
    <x v="19"/>
    <x v="0"/>
    <x v="218"/>
    <s v="Cầu Tre Pure bún tươi 300g"/>
    <s v="Gói"/>
    <n v="1"/>
    <n v="0.3"/>
    <d v="1899-12-30T07:12:00"/>
    <n v="44819"/>
    <s v="Lỗi rách- Phát hiện trong kho"/>
    <n v="9620.8960000000006"/>
    <x v="0"/>
    <n v="1"/>
    <n v="9620.8960000000006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51"/>
    <s v="lỗi bục- Giao hàng phát hiện"/>
    <n v="48200.041100000002"/>
    <x v="0"/>
    <n v="1"/>
    <n v="48200.041100000002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548"/>
    <s v="lỗi bục- Giao hàng phát hiện"/>
    <n v="7129.9988000000003"/>
    <x v="0"/>
    <n v="1"/>
    <n v="7129.9988000000003"/>
    <x v="2"/>
    <x v="0"/>
  </r>
  <r>
    <x v="0"/>
    <x v="10"/>
    <n v="44522"/>
    <x v="0"/>
    <x v="0"/>
    <x v="18"/>
    <x v="0"/>
    <x v="88"/>
    <s v="Bánh Mandu Thịt CJ Bibigo - Gói 350G"/>
    <s v="Gói"/>
    <n v="2"/>
    <n v="0.7"/>
    <d v="1899-12-30T08:24:00"/>
    <n v="44790"/>
    <s v="Lỗi bục 2, hủy tại ST- Giao hàng phát hiện"/>
    <n v="52609.981200000002"/>
    <x v="0"/>
    <n v="2"/>
    <n v="52609.981200000002"/>
    <x v="2"/>
    <x v="0"/>
  </r>
  <r>
    <x v="0"/>
    <x v="10"/>
    <n v="44522"/>
    <x v="1"/>
    <x v="0"/>
    <x v="19"/>
    <x v="0"/>
    <x v="334"/>
    <s v="CJ Cautre I’m Rice Cơm chiên Kimchi Khay 150g"/>
    <s v="Khay"/>
    <n v="1"/>
    <n v="0.15"/>
    <d v="1899-12-30T03:36:00"/>
    <n v="44828"/>
    <s v="Lỗi bục 1, hủy tại ST- Giao hàng phát hiện"/>
    <n v="10445.001099999999"/>
    <x v="0"/>
    <n v="1"/>
    <n v="10445.001099999999"/>
    <x v="2"/>
    <x v="0"/>
  </r>
  <r>
    <x v="0"/>
    <x v="10"/>
    <n v="44522"/>
    <x v="0"/>
    <x v="0"/>
    <x v="0"/>
    <x v="0"/>
    <x v="228"/>
    <s v="Chả Giò Da Xốp Cầu Tre - Nhân Tôm và Thịt - Gói 400G"/>
    <s v="Gói"/>
    <n v="1"/>
    <n v="0.4"/>
    <d v="1899-12-30T09:36:00"/>
    <n v="44849"/>
    <s v="Lỗi bục 1, hủy tại ST- Giao hàng phát hiện"/>
    <n v="25619.983800000002"/>
    <x v="0"/>
    <n v="1"/>
    <n v="25619.983800000002"/>
    <x v="2"/>
    <x v="0"/>
  </r>
  <r>
    <x v="0"/>
    <x v="10"/>
    <n v="44522"/>
    <x v="0"/>
    <x v="0"/>
    <x v="18"/>
    <x v="0"/>
    <x v="111"/>
    <s v="Bánh Mandu Thịt và Bắp CJ Bibigo – Gói 350g"/>
    <s v="Gói"/>
    <n v="2"/>
    <n v="0.7"/>
    <d v="1899-12-30T08:24:00"/>
    <n v="44793"/>
    <s v="Lỗi bục 2 hủy tại ST- Giao hàng phát hiện"/>
    <n v="54410.004999999997"/>
    <x v="0"/>
    <n v="2"/>
    <n v="54410.004999999997"/>
    <x v="2"/>
    <x v="0"/>
  </r>
  <r>
    <x v="0"/>
    <x v="10"/>
    <n v="44522"/>
    <x v="3"/>
    <x v="0"/>
    <x v="12"/>
    <x v="0"/>
    <x v="85"/>
    <s v="Bibigo Kimchi cải thảo cắt lát 100gr"/>
    <s v="Túi"/>
    <n v="3"/>
    <n v="0.30000000000000004"/>
    <d v="1899-12-30T02:24:00"/>
    <n v="44548"/>
    <s v="Lỗi 3 mờ date, hủy tại ST- Giao hàng phát hiện"/>
    <n v="21389.9964"/>
    <x v="0"/>
    <n v="3"/>
    <n v="21389.9964"/>
    <x v="2"/>
    <x v="0"/>
  </r>
  <r>
    <x v="0"/>
    <x v="10"/>
    <n v="44522"/>
    <x v="0"/>
    <x v="0"/>
    <x v="18"/>
    <x v="0"/>
    <x v="129"/>
    <s v="Bánh Mandu Hải sản CJ Bibigo - Gói 175g"/>
    <s v="Gói"/>
    <n v="1"/>
    <n v="0.17499999999999999"/>
    <d v="1899-12-30T04:12:00"/>
    <n v="44791"/>
    <s v="Lỗi bục 1, hủy tại ST- Giao hàng phát hiện"/>
    <n v="14602.510700000001"/>
    <x v="0"/>
    <n v="1"/>
    <n v="14602.510700000001"/>
    <x v="2"/>
    <x v="0"/>
  </r>
  <r>
    <x v="0"/>
    <x v="10"/>
    <n v="44522"/>
    <x v="3"/>
    <x v="0"/>
    <x v="12"/>
    <x v="0"/>
    <x v="5"/>
    <s v="Bibigo Kimchi cải thảo cây 1kg"/>
    <s v="Túi"/>
    <n v="3"/>
    <n v="3"/>
    <d v="1899-12-31T00:00:00"/>
    <n v="44551"/>
    <s v="Lỗi 3 mờ date, hủy tại ST- Giao hàng phát hiện"/>
    <n v="144600.12330000001"/>
    <x v="0"/>
    <n v="3"/>
    <n v="144600.12330000001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559"/>
    <s v="Lỗi bục- Giao hàng phát hiện"/>
    <n v="7129.9315999999999"/>
    <x v="0"/>
    <n v="1"/>
    <n v="7129.9315999999999"/>
    <x v="2"/>
    <x v="0"/>
  </r>
  <r>
    <x v="0"/>
    <x v="10"/>
    <n v="44522"/>
    <x v="0"/>
    <x v="0"/>
    <x v="3"/>
    <x v="0"/>
    <x v="230"/>
    <s v="Há Cảo Thượng Hạng - Gói 300G"/>
    <s v="Gói"/>
    <n v="1"/>
    <n v="0.3"/>
    <d v="1899-12-30T07:12:00"/>
    <n v="44850"/>
    <s v="Lỗi rách vỏ- Giao hàng phát hiện"/>
    <n v="37685.220699999998"/>
    <x v="0"/>
    <n v="1"/>
    <n v="37685.220699999998"/>
    <x v="2"/>
    <x v="0"/>
  </r>
  <r>
    <x v="0"/>
    <x v="10"/>
    <n v="44522"/>
    <x v="0"/>
    <x v="0"/>
    <x v="3"/>
    <x v="0"/>
    <x v="336"/>
    <s v="Há Cảo Hải Sản - Gói 500G"/>
    <s v="Gói"/>
    <n v="1"/>
    <n v="0.5"/>
    <d v="1899-12-30T12:00:00"/>
    <n v="44852"/>
    <s v="Lỗi bục- Giao hàng phát hiện"/>
    <n v="39224.798300000002"/>
    <x v="0"/>
    <n v="1"/>
    <n v="39224.798300000002"/>
    <x v="2"/>
    <x v="0"/>
  </r>
  <r>
    <x v="0"/>
    <x v="10"/>
    <n v="44522"/>
    <x v="0"/>
    <x v="0"/>
    <x v="18"/>
    <x v="0"/>
    <x v="168"/>
    <s v="Bánh Mandu Thịt CJ Bibigo - Gói 175g"/>
    <s v="Gói"/>
    <n v="1"/>
    <n v="0.17499999999999999"/>
    <d v="1899-12-30T04:12:00"/>
    <n v="44810"/>
    <s v="Lỗi mờ date- Giao hàng phát hiện"/>
    <n v="12900.509"/>
    <x v="0"/>
    <n v="1"/>
    <n v="12900.509"/>
    <x v="2"/>
    <x v="0"/>
  </r>
  <r>
    <x v="0"/>
    <x v="10"/>
    <n v="44522"/>
    <x v="0"/>
    <x v="0"/>
    <x v="18"/>
    <x v="0"/>
    <x v="246"/>
    <s v="Bánh Mandu Thịt và Bắp CJ Bibigo – Gói 175g"/>
    <s v="Gói"/>
    <n v="1"/>
    <n v="0.17499999999999999"/>
    <d v="1899-12-30T04:12:00"/>
    <n v="44793"/>
    <s v="Lỗi mờ date- Giao hàng phát hiện"/>
    <n v="15203.0834"/>
    <x v="0"/>
    <n v="1"/>
    <n v="15203.0834"/>
    <x v="2"/>
    <x v="0"/>
  </r>
  <r>
    <x v="0"/>
    <x v="10"/>
    <n v="44522"/>
    <x v="1"/>
    <x v="0"/>
    <x v="19"/>
    <x v="0"/>
    <x v="333"/>
    <s v="CJ Cautre I’m Rice Cơm chiên Hải Sản Khay 150g"/>
    <s v="Khay"/>
    <n v="2"/>
    <n v="0.3"/>
    <d v="1899-12-30T03:36:00"/>
    <n v="44559"/>
    <s v="Lỗi mờ date- Giao hàng phát hiện"/>
    <n v="21927.728599999999"/>
    <x v="0"/>
    <n v="2"/>
    <n v="21927.728599999999"/>
    <x v="2"/>
    <x v="0"/>
  </r>
  <r>
    <x v="0"/>
    <x v="10"/>
    <n v="44522"/>
    <x v="3"/>
    <x v="0"/>
    <x v="12"/>
    <x v="0"/>
    <x v="94"/>
    <s v="Bibigo Kimchi cải thảo cây 5kg - GGG"/>
    <s v="Túi"/>
    <n v="1"/>
    <n v="5"/>
    <d v="1900-01-04T00:00:00"/>
    <n v="44555"/>
    <s v="Lỗi bục- Phát hiện trong kho"/>
    <n v="138401.4803"/>
    <x v="0"/>
    <n v="1"/>
    <n v="138401.4803"/>
    <x v="2"/>
    <x v="0"/>
  </r>
  <r>
    <x v="0"/>
    <x v="10"/>
    <n v="44522"/>
    <x v="3"/>
    <x v="0"/>
    <x v="12"/>
    <x v="0"/>
    <x v="41"/>
    <s v="Bibigo Kimchi cải thảo chay 500gr"/>
    <s v="Hộp"/>
    <n v="2"/>
    <n v="1"/>
    <d v="1899-12-30T12:00:00"/>
    <n v="44559"/>
    <s v="Lỗi vỡ- Phát hiện trong kho"/>
    <n v="49300.007599999997"/>
    <x v="0"/>
    <n v="2"/>
    <n v="49300.007599999997"/>
    <x v="2"/>
    <x v="0"/>
  </r>
  <r>
    <x v="0"/>
    <x v="10"/>
    <n v="44522"/>
    <x v="3"/>
    <x v="0"/>
    <x v="12"/>
    <x v="0"/>
    <x v="68"/>
    <s v="Bibigo Kimchi cải thảo - ngò 500gr"/>
    <s v="Hộp"/>
    <n v="1"/>
    <n v="0.5"/>
    <d v="1899-12-30T12:00:00"/>
    <n v="44555"/>
    <s v="Lỗi vỡ- Phát hiện trong kho"/>
    <n v="26148.828600000001"/>
    <x v="0"/>
    <n v="1"/>
    <n v="26148.828600000001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58"/>
    <s v="Lỗi rách- Phát hiện trong kho"/>
    <n v="7229.9962999999998"/>
    <x v="0"/>
    <n v="1"/>
    <n v="7229.9962999999998"/>
    <x v="2"/>
    <x v="0"/>
  </r>
  <r>
    <x v="0"/>
    <x v="10"/>
    <n v="44522"/>
    <x v="3"/>
    <x v="0"/>
    <x v="12"/>
    <x v="0"/>
    <x v="41"/>
    <s v="Bibigo Kimchi cải thảo chay 500gr"/>
    <s v="Hộp"/>
    <n v="3"/>
    <n v="1.5"/>
    <d v="1899-12-30T12:00:00"/>
    <n v="44558"/>
    <s v="Lỗi vỡ- Phát hiện trong kho"/>
    <n v="73950.011399999988"/>
    <x v="0"/>
    <n v="3"/>
    <n v="73950.011399999988"/>
    <x v="2"/>
    <x v="0"/>
  </r>
  <r>
    <x v="0"/>
    <x v="10"/>
    <n v="44522"/>
    <x v="3"/>
    <x v="0"/>
    <x v="12"/>
    <x v="0"/>
    <x v="68"/>
    <s v="Bibigo Kimchi cải thảo - ngò 500gr"/>
    <s v="Hộp"/>
    <n v="2"/>
    <n v="1"/>
    <d v="1899-12-30T12:00:00"/>
    <n v="44560"/>
    <s v="Lỗi vỡ- Phát hiện trong kho"/>
    <n v="52297.657200000001"/>
    <x v="0"/>
    <n v="2"/>
    <n v="52297.657200000001"/>
    <x v="2"/>
    <x v="0"/>
  </r>
  <r>
    <x v="0"/>
    <x v="10"/>
    <n v="44522"/>
    <x v="3"/>
    <x v="0"/>
    <x v="12"/>
    <x v="0"/>
    <x v="30"/>
    <s v="Bibigo Kimchi cải thảo cắt lát 500gr"/>
    <s v="Hộp"/>
    <n v="1"/>
    <n v="0.5"/>
    <d v="1899-12-30T12:00:00"/>
    <n v="44559"/>
    <s v="Lỗi vỡ- Phát hiện trong kho"/>
    <n v="24549.925999999999"/>
    <x v="0"/>
    <n v="1"/>
    <n v="24549.925999999999"/>
    <x v="2"/>
    <x v="0"/>
  </r>
  <r>
    <x v="0"/>
    <x v="10"/>
    <n v="44522"/>
    <x v="3"/>
    <x v="0"/>
    <x v="12"/>
    <x v="0"/>
    <x v="85"/>
    <s v="Bibigo Kimchi cải thảo cắt lát 100gr"/>
    <s v="Túi"/>
    <n v="1"/>
    <n v="0.1"/>
    <d v="1899-12-30T02:24:00"/>
    <n v="44555"/>
    <s v="Lỗi bục- Phát hiện trong kho"/>
    <n v="7129.9315999999999"/>
    <x v="0"/>
    <n v="1"/>
    <n v="7129.9315999999999"/>
    <x v="2"/>
    <x v="0"/>
  </r>
  <r>
    <x v="0"/>
    <x v="10"/>
    <n v="44522"/>
    <x v="3"/>
    <x v="0"/>
    <x v="12"/>
    <x v="0"/>
    <x v="31"/>
    <s v="Bibigo Kimchi cải thảo - ngò 100gr"/>
    <s v="Túi"/>
    <n v="1"/>
    <n v="0.1"/>
    <d v="1899-12-30T02:24:00"/>
    <n v="44559"/>
    <s v="Lỗi bục- Phát hiện trong kho"/>
    <n v="7229.9962999999998"/>
    <x v="0"/>
    <n v="1"/>
    <n v="7229.9962999999998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55"/>
    <s v="Lỗi bục- Phát hiện trong kho"/>
    <n v="48198.653100000003"/>
    <x v="0"/>
    <n v="1"/>
    <n v="48198.653100000003"/>
    <x v="2"/>
    <x v="0"/>
  </r>
  <r>
    <x v="0"/>
    <x v="10"/>
    <n v="44522"/>
    <x v="3"/>
    <x v="0"/>
    <x v="12"/>
    <x v="0"/>
    <x v="5"/>
    <s v="Bibigo Kimchi cải thảo cây 1kg"/>
    <s v="Túi"/>
    <n v="1"/>
    <n v="1"/>
    <d v="1899-12-31T00:00:00"/>
    <n v="44558"/>
    <s v="Lỗi bục- Phát hiện trong kho"/>
    <n v="48198.653100000003"/>
    <x v="0"/>
    <n v="1"/>
    <n v="48198.653100000003"/>
    <x v="2"/>
    <x v="0"/>
  </r>
  <r>
    <x v="0"/>
    <x v="10"/>
    <n v="44527"/>
    <x v="0"/>
    <x v="0"/>
    <x v="18"/>
    <x v="2"/>
    <x v="58"/>
    <s v="BIBIGO bánh xếp vị Kimchi  420G"/>
    <s v="Gói"/>
    <n v="1"/>
    <n v="0.42"/>
    <d v="1899-12-30T10:04:48"/>
    <n v="44552"/>
    <s v="Mờ date"/>
    <n v="37086.235500000003"/>
    <x v="0"/>
    <n v="1"/>
    <n v="37086.235500000003"/>
    <x v="2"/>
    <x v="0"/>
  </r>
  <r>
    <x v="0"/>
    <x v="10"/>
    <n v="44527"/>
    <x v="0"/>
    <x v="0"/>
    <x v="18"/>
    <x v="2"/>
    <x v="220"/>
    <s v="BIBIGO Hoành thánh Mini  370G"/>
    <s v="Gói"/>
    <n v="2"/>
    <n v="0.74"/>
    <d v="1899-12-30T08:52:48"/>
    <n v="44672"/>
    <s v="Rách"/>
    <n v="76026.101200000005"/>
    <x v="2"/>
    <n v="0"/>
    <n v="0"/>
    <x v="2"/>
    <x v="0"/>
  </r>
  <r>
    <x v="0"/>
    <x v="10"/>
    <n v="44527"/>
    <x v="5"/>
    <x v="0"/>
    <x v="16"/>
    <x v="2"/>
    <x v="263"/>
    <s v="Cá viên rau củ Cầu Tre 500g"/>
    <s v="Túi"/>
    <n v="7"/>
    <n v="3.5"/>
    <d v="1899-12-30T12:00:00"/>
    <n v="44629"/>
    <s v="Xì"/>
    <n v="161148.9999"/>
    <x v="1"/>
    <n v="0"/>
    <n v="0"/>
    <x v="2"/>
    <x v="0"/>
  </r>
  <r>
    <x v="0"/>
    <x v="10"/>
    <n v="44527"/>
    <x v="5"/>
    <x v="0"/>
    <x v="16"/>
    <x v="2"/>
    <x v="290"/>
    <s v="Lẩu thả Long Cung 300g"/>
    <s v="Gói"/>
    <n v="1"/>
    <n v="0.3"/>
    <d v="1899-12-30T07:12:00"/>
    <n v="44610"/>
    <s v="Rách"/>
    <n v="25902.142899999999"/>
    <x v="1"/>
    <n v="0"/>
    <n v="0"/>
    <x v="2"/>
    <x v="0"/>
  </r>
  <r>
    <x v="0"/>
    <x v="10"/>
    <n v="44527"/>
    <x v="5"/>
    <x v="0"/>
    <x v="16"/>
    <x v="2"/>
    <x v="290"/>
    <s v="Lẩu thả Long Cung 300g"/>
    <s v="Gói"/>
    <n v="1"/>
    <n v="0.3"/>
    <d v="1899-12-30T07:12:00"/>
    <n v="44747"/>
    <s v="Rách"/>
    <n v="25902.142899999999"/>
    <x v="1"/>
    <n v="0"/>
    <n v="0"/>
    <x v="2"/>
    <x v="0"/>
  </r>
  <r>
    <x v="0"/>
    <x v="10"/>
    <n v="44527"/>
    <x v="0"/>
    <x v="0"/>
    <x v="18"/>
    <x v="2"/>
    <x v="62"/>
    <s v="Bánh Mandu Thịt CJ Bibigo - gói 1.505kg- Thùng 9,03 kg"/>
    <s v="Gói"/>
    <n v="8"/>
    <n v="12.04"/>
    <d v="1899-12-31T12:07:12"/>
    <n v="44645"/>
    <s v="Hàng thu hồi không đạt của NPP Lê Thị Phụng"/>
    <n v="849450.03040000005"/>
    <x v="1"/>
    <n v="0"/>
    <n v="0"/>
    <x v="2"/>
    <x v="0"/>
  </r>
  <r>
    <x v="0"/>
    <x v="10"/>
    <n v="44527"/>
    <x v="0"/>
    <x v="0"/>
    <x v="18"/>
    <x v="2"/>
    <x v="62"/>
    <s v="Bánh Mandu Thịt CJ Bibigo - gói 1.505kg- Thùng 9,03 kg"/>
    <s v="Gói"/>
    <n v="8"/>
    <n v="12.04"/>
    <d v="1899-12-31T12:07:12"/>
    <n v="44678"/>
    <s v="Các cửa hàng Ministop trả về ko đạt"/>
    <n v="849450.03040000005"/>
    <x v="2"/>
    <n v="0"/>
    <n v="0"/>
    <x v="2"/>
    <x v="0"/>
  </r>
  <r>
    <x v="0"/>
    <x v="10"/>
    <n v="44527"/>
    <x v="0"/>
    <x v="0"/>
    <x v="18"/>
    <x v="2"/>
    <x v="62"/>
    <s v="Bánh Mandu Thịt CJ Bibigo - gói 1.505kg- Thùng 9,03 kg"/>
    <s v="Gói"/>
    <n v="29"/>
    <n v="43.645000000000003"/>
    <d v="1899-12-31T12:07:12"/>
    <n v="44761"/>
    <s v="Các cửa hàng Ministop trả về ko đạt"/>
    <n v="3079256.3602"/>
    <x v="2"/>
    <n v="0"/>
    <n v="0"/>
    <x v="2"/>
    <x v="0"/>
  </r>
  <r>
    <x v="0"/>
    <x v="10"/>
    <n v="44527"/>
    <x v="0"/>
    <x v="0"/>
    <x v="18"/>
    <x v="2"/>
    <x v="62"/>
    <s v="Bánh Mandu Thịt CJ Bibigo - gói 1.505kg- Thùng 9,03 kg"/>
    <s v="Gói"/>
    <n v="1"/>
    <n v="1.5049999999999999"/>
    <d v="1899-12-31T12:07:12"/>
    <n v="44790"/>
    <s v="MEGA BÌNH DƯƠNG TRẢ VỀ HÀNG KO ĐẠT"/>
    <n v="106181.25380000001"/>
    <x v="2"/>
    <n v="0"/>
    <n v="0"/>
    <x v="2"/>
    <x v="0"/>
  </r>
  <r>
    <x v="0"/>
    <x v="10"/>
    <n v="44527"/>
    <x v="0"/>
    <x v="0"/>
    <x v="18"/>
    <x v="2"/>
    <x v="151"/>
    <s v="Bánh Mandu Thịt và Bắp CJ Bibigo - Gói 1.505Kg - Thùng 9,03Kg"/>
    <s v="Gói"/>
    <n v="2"/>
    <n v="3.01"/>
    <d v="1899-12-31T12:07:12"/>
    <n v="44644"/>
    <s v="NPP NGÂN KHÁNH TRẢ VỀ KO ĐẠT"/>
    <n v="227850"/>
    <x v="2"/>
    <n v="0"/>
    <n v="0"/>
    <x v="2"/>
    <x v="0"/>
  </r>
  <r>
    <x v="0"/>
    <x v="10"/>
    <n v="44527"/>
    <x v="0"/>
    <x v="0"/>
    <x v="18"/>
    <x v="2"/>
    <x v="144"/>
    <s v="Bánh Mandu Hải Sản CJ Bibigo - Gói 1.505Kg - Thùng 9,03Kg"/>
    <s v="Gói"/>
    <n v="33"/>
    <n v="49.664999999999999"/>
    <d v="1899-12-31T12:07:12"/>
    <n v="44622"/>
    <s v="Hàng thu hồi không đạt của NPP Lê Thị Phụng"/>
    <n v="3759525"/>
    <x v="2"/>
    <n v="0"/>
    <n v="0"/>
    <x v="2"/>
    <x v="0"/>
  </r>
  <r>
    <x v="0"/>
    <x v="10"/>
    <n v="44527"/>
    <x v="0"/>
    <x v="0"/>
    <x v="18"/>
    <x v="2"/>
    <x v="144"/>
    <s v="Bánh Mandu Hải Sản CJ Bibigo - Gói 1.505Kg - Thùng 9,03Kg"/>
    <s v="Gói"/>
    <n v="64"/>
    <n v="96.32"/>
    <d v="1899-12-31T12:07:12"/>
    <n v="44595"/>
    <s v="HTX TM- DV Phường 1- TP Mỹ Tho TRẢ VỀ HÀNG KHÔNG ĐẠT"/>
    <n v="7291200"/>
    <x v="2"/>
    <n v="0"/>
    <n v="0"/>
    <x v="2"/>
    <x v="0"/>
  </r>
  <r>
    <x v="0"/>
    <x v="10"/>
    <n v="44527"/>
    <x v="0"/>
    <x v="0"/>
    <x v="18"/>
    <x v="2"/>
    <x v="144"/>
    <s v="Bánh Mandu Hải Sản CJ Bibigo - Gói 1.505Kg - Thùng 9,03Kg"/>
    <s v="Gói"/>
    <n v="158"/>
    <n v="237.79"/>
    <d v="1899-12-31T12:07:12"/>
    <n v="44682"/>
    <s v="Hàng thu hồi không đạt của NPP Lê Thị Phụng"/>
    <n v="18000150"/>
    <x v="2"/>
    <n v="0"/>
    <n v="0"/>
    <x v="2"/>
    <x v="0"/>
  </r>
  <r>
    <x v="0"/>
    <x v="10"/>
    <n v="44527"/>
    <x v="6"/>
    <x v="0"/>
    <x v="8"/>
    <x v="2"/>
    <x v="166"/>
    <s v="Ohya Bánh cuộn xúc xích phô mai 195g/gói"/>
    <s v="Gói"/>
    <n v="2"/>
    <n v="0.39"/>
    <d v="1899-12-30T04:40:48"/>
    <n v="44691"/>
    <s v="Rách"/>
    <n v="43350"/>
    <x v="2"/>
    <n v="0"/>
    <n v="0"/>
    <x v="2"/>
    <x v="0"/>
  </r>
  <r>
    <x v="0"/>
    <x v="10"/>
    <n v="44527"/>
    <x v="5"/>
    <x v="0"/>
    <x v="38"/>
    <x v="2"/>
    <x v="217"/>
    <s v="Bò viên Cầu Tre - Gói 200G"/>
    <s v="Gói"/>
    <n v="2"/>
    <n v="0.4"/>
    <d v="1899-12-30T04:48:00"/>
    <n v="44628"/>
    <s v="Rách"/>
    <n v="40200"/>
    <x v="1"/>
    <n v="0"/>
    <n v="0"/>
    <x v="2"/>
    <x v="0"/>
  </r>
  <r>
    <x v="0"/>
    <x v="10"/>
    <n v="44527"/>
    <x v="5"/>
    <x v="0"/>
    <x v="16"/>
    <x v="2"/>
    <x v="27"/>
    <s v="Bò viên ngon Cầu Tre 500gr"/>
    <s v="Gói"/>
    <n v="1"/>
    <n v="0.5"/>
    <d v="1899-12-30T12:00:00"/>
    <n v="44639"/>
    <s v="Xì"/>
    <n v="42300.0075"/>
    <x v="1"/>
    <n v="0"/>
    <n v="0"/>
    <x v="2"/>
    <x v="0"/>
  </r>
  <r>
    <x v="0"/>
    <x v="10"/>
    <n v="44527"/>
    <x v="5"/>
    <x v="0"/>
    <x v="16"/>
    <x v="2"/>
    <x v="27"/>
    <s v="Bò viên ngon Cầu Tre 500gr"/>
    <s v="Gói"/>
    <n v="5"/>
    <n v="2.5"/>
    <d v="1899-12-30T12:00:00"/>
    <n v="44646"/>
    <s v="Xì"/>
    <n v="211500.03750000001"/>
    <x v="1"/>
    <n v="0"/>
    <n v="0"/>
    <x v="2"/>
    <x v="0"/>
  </r>
  <r>
    <x v="0"/>
    <x v="10"/>
    <n v="44527"/>
    <x v="5"/>
    <x v="0"/>
    <x v="16"/>
    <x v="2"/>
    <x v="27"/>
    <s v="Bò viên ngon Cầu Tre 500gr"/>
    <s v="Gói"/>
    <n v="2"/>
    <n v="1"/>
    <d v="1899-12-30T12:00:00"/>
    <n v="44702"/>
    <s v="Xì"/>
    <n v="84600.014999999999"/>
    <x v="1"/>
    <n v="0"/>
    <n v="0"/>
    <x v="2"/>
    <x v="0"/>
  </r>
  <r>
    <x v="0"/>
    <x v="10"/>
    <n v="44527"/>
    <x v="5"/>
    <x v="0"/>
    <x v="16"/>
    <x v="2"/>
    <x v="27"/>
    <s v="Bò viên ngon Cầu Tre 500gr"/>
    <s v="Gói"/>
    <n v="1"/>
    <n v="0.5"/>
    <d v="1899-12-30T12:00:00"/>
    <n v="44735"/>
    <s v="Xì"/>
    <n v="42300.0075"/>
    <x v="1"/>
    <n v="0"/>
    <n v="0"/>
    <x v="2"/>
    <x v="0"/>
  </r>
  <r>
    <x v="0"/>
    <x v="10"/>
    <n v="44527"/>
    <x v="5"/>
    <x v="0"/>
    <x v="16"/>
    <x v="2"/>
    <x v="27"/>
    <s v="Bò viên ngon Cầu Tre 500gr"/>
    <s v="Gói"/>
    <n v="1"/>
    <n v="0.5"/>
    <d v="1899-12-30T12:00:00"/>
    <n v="44860"/>
    <s v="Xì"/>
    <n v="42300.0075"/>
    <x v="1"/>
    <n v="0"/>
    <n v="0"/>
    <x v="2"/>
    <x v="0"/>
  </r>
  <r>
    <x v="0"/>
    <x v="10"/>
    <n v="44527"/>
    <x v="5"/>
    <x v="0"/>
    <x v="16"/>
    <x v="2"/>
    <x v="27"/>
    <s v="Bò viên ngon Cầu Tre 500gr"/>
    <s v="Gói"/>
    <n v="1"/>
    <n v="0.5"/>
    <d v="1899-12-30T12:00:00"/>
    <n v="44868"/>
    <s v="Rách"/>
    <n v="42300.0075"/>
    <x v="1"/>
    <n v="0"/>
    <n v="0"/>
    <x v="2"/>
    <x v="0"/>
  </r>
  <r>
    <x v="0"/>
    <x v="10"/>
    <n v="44527"/>
    <x v="0"/>
    <x v="0"/>
    <x v="18"/>
    <x v="2"/>
    <x v="111"/>
    <s v="Bánh Mandu Thịt và Bắp CJ Bibigo – Gói 350g"/>
    <s v="Gói"/>
    <n v="38"/>
    <n v="13.3"/>
    <d v="1899-12-30T08:24:00"/>
    <n v="44631"/>
    <s v="HÀNG TRẢ NPP THÁI TUẤN KHÔNG ĐẠT"/>
    <n v="1069700.095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687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691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696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4"/>
    <n v="0.6"/>
    <d v="1899-12-30T03:36:00"/>
    <n v="44703"/>
    <s v="Rách"/>
    <n v="43400.004399999998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721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726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3"/>
    <n v="0.45"/>
    <d v="1899-12-30T03:36:00"/>
    <n v="44730"/>
    <s v="Rách"/>
    <n v="32550.003299999997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734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741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768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3"/>
    <n v="0.45"/>
    <d v="1899-12-30T03:36:00"/>
    <n v="44817"/>
    <s v="Rách"/>
    <n v="32550.003299999997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825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835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2"/>
    <n v="0.3"/>
    <d v="1899-12-30T03:36:00"/>
    <n v="44842"/>
    <s v="Rách"/>
    <n v="21700.0021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852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3"/>
    <n v="0.45"/>
    <d v="1899-12-30T03:36:00"/>
    <n v="44864"/>
    <s v="Rách"/>
    <n v="32550.003299999997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863"/>
    <s v="Rách"/>
    <n v="10850.001099999999"/>
    <x v="1"/>
    <n v="0"/>
    <n v="0"/>
    <x v="2"/>
    <x v="0"/>
  </r>
  <r>
    <x v="0"/>
    <x v="10"/>
    <n v="44527"/>
    <x v="1"/>
    <x v="0"/>
    <x v="26"/>
    <x v="2"/>
    <x v="334"/>
    <s v="CJ Cautre I’m Rice Cơm chiên Kimchi Khay 150g"/>
    <s v="Khay"/>
    <n v="1"/>
    <n v="0.15"/>
    <d v="1899-12-30T03:36:00"/>
    <n v="44865"/>
    <s v="Rách"/>
    <n v="10850.001099999999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430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2"/>
    <n v="0.3"/>
    <d v="1899-12-30T03:36:00"/>
    <n v="44646"/>
    <s v="Rách"/>
    <n v="22700.1310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2"/>
    <n v="0.3"/>
    <d v="1899-12-30T03:36:00"/>
    <n v="44660"/>
    <s v="Rách"/>
    <n v="22700.1310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2"/>
    <n v="0.3"/>
    <d v="1899-12-30T03:36:00"/>
    <n v="44677"/>
    <s v="Rách"/>
    <n v="22700.1310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688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689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2"/>
    <n v="0.3"/>
    <d v="1899-12-30T03:36:00"/>
    <n v="44695"/>
    <s v="Rách"/>
    <n v="22700.1310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698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707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720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723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724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726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728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729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873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2"/>
    <n v="0.3"/>
    <d v="1899-12-30T03:36:00"/>
    <n v="44833"/>
    <s v="Rách"/>
    <n v="22700.1310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6"/>
    <n v="0.8999999999999998"/>
    <d v="1899-12-30T03:36:00"/>
    <n v="44847"/>
    <s v="Rách"/>
    <n v="68100.39300000001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846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860"/>
    <s v="Rách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4"/>
    <n v="0.6"/>
    <d v="1899-12-30T03:36:00"/>
    <n v="44870"/>
    <s v="Rách"/>
    <n v="45400.262000000002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7"/>
    <n v="1.05"/>
    <d v="1899-12-30T03:36:00"/>
    <n v="44871"/>
    <s v="Rách"/>
    <n v="79450.458499999993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7"/>
    <n v="1.05"/>
    <d v="1899-12-30T03:36:00"/>
    <n v="44875"/>
    <s v="Rách"/>
    <n v="79450.458499999993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882"/>
    <s v="hàng bể"/>
    <n v="11350.0655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2"/>
    <n v="0.3"/>
    <d v="1899-12-30T03:36:00"/>
    <n v="44884"/>
    <s v="Rách"/>
    <n v="22700.131000000001"/>
    <x v="1"/>
    <n v="0"/>
    <n v="0"/>
    <x v="2"/>
    <x v="0"/>
  </r>
  <r>
    <x v="0"/>
    <x v="10"/>
    <n v="44527"/>
    <x v="1"/>
    <x v="0"/>
    <x v="41"/>
    <x v="2"/>
    <x v="333"/>
    <s v="CJ Cautre I’m Rice Cơm chiên Hải Sản Khay 150g"/>
    <s v="Khay"/>
    <n v="1"/>
    <n v="0.15"/>
    <d v="1899-12-30T03:36:00"/>
    <n v="44838"/>
    <s v="Rách"/>
    <n v="11350.065500000001"/>
    <x v="1"/>
    <n v="0"/>
    <n v="0"/>
    <x v="2"/>
    <x v="0"/>
  </r>
  <r>
    <x v="0"/>
    <x v="10"/>
    <n v="44527"/>
    <x v="0"/>
    <x v="0"/>
    <x v="0"/>
    <x v="2"/>
    <x v="338"/>
    <s v="Chả Giò - Gói 500G"/>
    <s v="Gói"/>
    <n v="1"/>
    <n v="0.5"/>
    <d v="1899-12-30T12:00:00"/>
    <n v="44735"/>
    <s v="Rách"/>
    <n v="25600"/>
    <x v="1"/>
    <n v="0"/>
    <n v="0"/>
    <x v="2"/>
    <x v="0"/>
  </r>
  <r>
    <x v="0"/>
    <x v="10"/>
    <n v="44527"/>
    <x v="0"/>
    <x v="0"/>
    <x v="0"/>
    <x v="2"/>
    <x v="227"/>
    <s v="Chả Giò Đặc Biệt Hải Sản- Gói 500G"/>
    <s v="Gói"/>
    <n v="1"/>
    <n v="0.5"/>
    <d v="1899-12-30T12:00:00"/>
    <n v="44714"/>
    <s v="Rách"/>
    <n v="32300"/>
    <x v="1"/>
    <n v="0"/>
    <n v="0"/>
    <x v="2"/>
    <x v="0"/>
  </r>
  <r>
    <x v="0"/>
    <x v="10"/>
    <n v="44527"/>
    <x v="0"/>
    <x v="0"/>
    <x v="0"/>
    <x v="2"/>
    <x v="226"/>
    <s v="Chả Giò Rế - Gói 300G"/>
    <s v="Gói"/>
    <n v="2"/>
    <n v="0.6"/>
    <d v="1899-12-30T07:12:00"/>
    <n v="44660"/>
    <s v="Rách"/>
    <n v="36400"/>
    <x v="1"/>
    <n v="0"/>
    <n v="0"/>
    <x v="2"/>
    <x v="0"/>
  </r>
  <r>
    <x v="0"/>
    <x v="10"/>
    <n v="44527"/>
    <x v="0"/>
    <x v="0"/>
    <x v="0"/>
    <x v="2"/>
    <x v="226"/>
    <s v="Chả Giò Rế - Gói 300G"/>
    <s v="Gói"/>
    <n v="1"/>
    <n v="0.3"/>
    <d v="1899-12-30T07:12:00"/>
    <n v="44695"/>
    <s v="Rách"/>
    <n v="18200"/>
    <x v="1"/>
    <n v="0"/>
    <n v="0"/>
    <x v="2"/>
    <x v="0"/>
  </r>
  <r>
    <x v="0"/>
    <x v="10"/>
    <n v="44527"/>
    <x v="0"/>
    <x v="0"/>
    <x v="0"/>
    <x v="2"/>
    <x v="235"/>
    <s v="Chả Giò Da Xốp Cầu Tre - Nhân Thịt - Gói 500G"/>
    <s v="Gói"/>
    <n v="1"/>
    <n v="0.5"/>
    <d v="1899-12-30T12:00:00"/>
    <n v="44632"/>
    <s v="Rách"/>
    <n v="30399.970300000001"/>
    <x v="1"/>
    <n v="0"/>
    <n v="0"/>
    <x v="2"/>
    <x v="0"/>
  </r>
  <r>
    <x v="0"/>
    <x v="10"/>
    <n v="44527"/>
    <x v="0"/>
    <x v="0"/>
    <x v="0"/>
    <x v="2"/>
    <x v="235"/>
    <s v="Chả Giò Da Xốp Cầu Tre - Nhân Thịt - Gói 500G"/>
    <s v="Gói"/>
    <n v="5"/>
    <n v="2.5"/>
    <d v="1899-12-30T12:00:00"/>
    <n v="44684"/>
    <s v="Rách"/>
    <n v="151999.85149999999"/>
    <x v="1"/>
    <n v="0"/>
    <n v="0"/>
    <x v="2"/>
    <x v="0"/>
  </r>
  <r>
    <x v="0"/>
    <x v="10"/>
    <n v="44527"/>
    <x v="0"/>
    <x v="0"/>
    <x v="0"/>
    <x v="2"/>
    <x v="228"/>
    <s v="Chả Giò Da Xốp Cầu Tre - Nhân Tôm và Thịt - Gói 400G"/>
    <s v="Gói"/>
    <n v="1"/>
    <n v="0.4"/>
    <d v="1899-12-30T09:36:00"/>
    <n v="44692"/>
    <s v="Rách"/>
    <n v="26699.983800000002"/>
    <x v="1"/>
    <n v="0"/>
    <n v="0"/>
    <x v="2"/>
    <x v="0"/>
  </r>
  <r>
    <x v="0"/>
    <x v="10"/>
    <n v="44527"/>
    <x v="0"/>
    <x v="0"/>
    <x v="0"/>
    <x v="2"/>
    <x v="228"/>
    <s v="Chả Giò Da Xốp Cầu Tre - Nhân Tôm và Thịt - Gói 400G"/>
    <s v="Gói"/>
    <n v="1"/>
    <n v="0.4"/>
    <d v="1899-12-30T09:36:00"/>
    <n v="44703"/>
    <s v="Rách"/>
    <n v="26699.983800000002"/>
    <x v="1"/>
    <n v="0"/>
    <n v="0"/>
    <x v="2"/>
    <x v="0"/>
  </r>
  <r>
    <x v="0"/>
    <x v="10"/>
    <n v="44527"/>
    <x v="0"/>
    <x v="0"/>
    <x v="0"/>
    <x v="2"/>
    <x v="228"/>
    <s v="Chả Giò Da Xốp Cầu Tre - Nhân Tôm và Thịt - Gói 400G"/>
    <s v="Gói"/>
    <n v="1"/>
    <n v="0.4"/>
    <d v="1899-12-30T09:36:00"/>
    <n v="44735"/>
    <s v="Rách"/>
    <n v="26699.983800000002"/>
    <x v="1"/>
    <n v="0"/>
    <n v="0"/>
    <x v="2"/>
    <x v="0"/>
  </r>
  <r>
    <x v="0"/>
    <x v="10"/>
    <n v="44527"/>
    <x v="0"/>
    <x v="0"/>
    <x v="0"/>
    <x v="2"/>
    <x v="228"/>
    <s v="Chả Giò Da Xốp Cầu Tre - Nhân Tôm và Thịt - Gói 400G"/>
    <s v="Gói"/>
    <n v="1"/>
    <n v="0.4"/>
    <d v="1899-12-30T09:36:00"/>
    <n v="44815"/>
    <s v="Rách"/>
    <n v="26699.983800000002"/>
    <x v="1"/>
    <n v="0"/>
    <n v="0"/>
    <x v="2"/>
    <x v="0"/>
  </r>
  <r>
    <x v="0"/>
    <x v="10"/>
    <n v="44527"/>
    <x v="5"/>
    <x v="0"/>
    <x v="16"/>
    <x v="2"/>
    <x v="231"/>
    <s v="Cá viên - Gói 250G"/>
    <s v="Gói"/>
    <n v="1"/>
    <n v="0.25"/>
    <d v="1899-12-30T06:00:00"/>
    <n v="44714"/>
    <s v="Xì"/>
    <n v="17150"/>
    <x v="2"/>
    <n v="0"/>
    <n v="0"/>
    <x v="2"/>
    <x v="0"/>
  </r>
  <r>
    <x v="0"/>
    <x v="10"/>
    <n v="44527"/>
    <x v="5"/>
    <x v="0"/>
    <x v="16"/>
    <x v="2"/>
    <x v="46"/>
    <s v="Cá viên ngon Cầu Tre 500gr"/>
    <s v="Túi"/>
    <n v="1"/>
    <n v="0.5"/>
    <d v="1899-12-30T12:00:00"/>
    <n v="44642"/>
    <s v="Xì"/>
    <n v="22099.9954"/>
    <x v="2"/>
    <n v="0"/>
    <n v="0"/>
    <x v="2"/>
    <x v="0"/>
  </r>
  <r>
    <x v="0"/>
    <x v="10"/>
    <n v="44527"/>
    <x v="5"/>
    <x v="0"/>
    <x v="16"/>
    <x v="2"/>
    <x v="46"/>
    <s v="Cá viên ngon Cầu Tre 500gr"/>
    <s v="Túi"/>
    <n v="1"/>
    <n v="0.5"/>
    <d v="1899-12-30T12:00:00"/>
    <n v="44783"/>
    <s v="Xì"/>
    <n v="22099.9954"/>
    <x v="2"/>
    <n v="0"/>
    <n v="0"/>
    <x v="2"/>
    <x v="0"/>
  </r>
  <r>
    <x v="0"/>
    <x v="10"/>
    <n v="44527"/>
    <x v="0"/>
    <x v="0"/>
    <x v="3"/>
    <x v="2"/>
    <x v="4"/>
    <s v="Há Cảo Chay - Gói 500G"/>
    <s v="Gói"/>
    <n v="1"/>
    <n v="0.5"/>
    <d v="1899-12-30T12:00:00"/>
    <n v="44699"/>
    <s v="Rách"/>
    <n v="28500.0553"/>
    <x v="1"/>
    <n v="0"/>
    <n v="0"/>
    <x v="2"/>
    <x v="0"/>
  </r>
  <r>
    <x v="0"/>
    <x v="10"/>
    <n v="44527"/>
    <x v="0"/>
    <x v="0"/>
    <x v="3"/>
    <x v="2"/>
    <x v="125"/>
    <s v="Há Cảo CTE Mini - Gói 500g"/>
    <s v="Gói"/>
    <n v="1"/>
    <n v="0.5"/>
    <d v="1899-12-30T12:00:00"/>
    <n v="44646"/>
    <s v="Rách"/>
    <n v="36800"/>
    <x v="1"/>
    <n v="0"/>
    <n v="0"/>
    <x v="2"/>
    <x v="0"/>
  </r>
  <r>
    <x v="0"/>
    <x v="10"/>
    <n v="44527"/>
    <x v="0"/>
    <x v="0"/>
    <x v="3"/>
    <x v="2"/>
    <x v="125"/>
    <s v="Há Cảo CTE Mini - Gói 500g"/>
    <s v="Gói"/>
    <n v="2"/>
    <n v="1"/>
    <d v="1899-12-30T12:00:00"/>
    <n v="44866"/>
    <s v="Mờ date"/>
    <n v="73600"/>
    <x v="1"/>
    <n v="0"/>
    <n v="0"/>
    <x v="2"/>
    <x v="0"/>
  </r>
  <r>
    <x v="0"/>
    <x v="10"/>
    <n v="44527"/>
    <x v="0"/>
    <x v="0"/>
    <x v="3"/>
    <x v="2"/>
    <x v="125"/>
    <s v="Há Cảo CTE Mini - Gói 500g"/>
    <s v="Gói"/>
    <n v="1"/>
    <n v="0.5"/>
    <d v="1899-12-30T12:00:00"/>
    <n v="44825"/>
    <s v="Rách"/>
    <n v="36800"/>
    <x v="1"/>
    <n v="0"/>
    <n v="0"/>
    <x v="2"/>
    <x v="0"/>
  </r>
  <r>
    <x v="0"/>
    <x v="10"/>
    <n v="44527"/>
    <x v="0"/>
    <x v="0"/>
    <x v="3"/>
    <x v="2"/>
    <x v="125"/>
    <s v="Há Cảo CTE Mini - Gói 500g"/>
    <s v="Gói"/>
    <n v="1"/>
    <n v="0.5"/>
    <d v="1899-12-30T12:00:00"/>
    <n v="44861"/>
    <s v="Rách"/>
    <n v="36800"/>
    <x v="1"/>
    <n v="0"/>
    <n v="0"/>
    <x v="2"/>
    <x v="0"/>
  </r>
  <r>
    <x v="0"/>
    <x v="10"/>
    <n v="44527"/>
    <x v="0"/>
    <x v="0"/>
    <x v="0"/>
    <x v="2"/>
    <x v="337"/>
    <s v="Nem Real Kiểu Hà Nội Nhân Thịt - Gói 360G"/>
    <s v="Gói"/>
    <n v="4"/>
    <n v="1.44"/>
    <d v="1899-12-30T08:38:24"/>
    <n v="44837"/>
    <s v="Rách"/>
    <n v="125600.08560000001"/>
    <x v="1"/>
    <n v="0"/>
    <n v="0"/>
    <x v="2"/>
    <x v="0"/>
  </r>
  <r>
    <x v="0"/>
    <x v="10"/>
    <n v="44527"/>
    <x v="0"/>
    <x v="0"/>
    <x v="0"/>
    <x v="2"/>
    <x v="337"/>
    <s v="Nem Real Kiểu Hà Nội Nhân Thịt - Gói 360G"/>
    <s v="Gói"/>
    <n v="1"/>
    <n v="0.36"/>
    <d v="1899-12-30T08:38:24"/>
    <n v="44852"/>
    <s v="Rách"/>
    <n v="31400.021400000001"/>
    <x v="1"/>
    <n v="0"/>
    <n v="0"/>
    <x v="2"/>
    <x v="0"/>
  </r>
  <r>
    <x v="0"/>
    <x v="10"/>
    <n v="44527"/>
    <x v="0"/>
    <x v="0"/>
    <x v="0"/>
    <x v="2"/>
    <x v="337"/>
    <s v="Nem Real Kiểu Hà Nội Nhân Thịt - Gói 360G"/>
    <s v="Gói"/>
    <n v="2"/>
    <n v="0.72"/>
    <d v="1899-12-30T08:38:24"/>
    <n v="44861"/>
    <s v="Rách"/>
    <n v="62800.042800000003"/>
    <x v="1"/>
    <n v="0"/>
    <n v="0"/>
    <x v="2"/>
    <x v="0"/>
  </r>
  <r>
    <x v="0"/>
    <x v="10"/>
    <n v="44527"/>
    <x v="3"/>
    <x v="0"/>
    <x v="12"/>
    <x v="2"/>
    <x v="65"/>
    <s v="Đậu hũ chiên Ông Kim's 350gr"/>
    <s v="Hộp"/>
    <n v="4"/>
    <n v="1.4"/>
    <d v="1899-12-30T08:24:00"/>
    <n v="44356"/>
    <s v="Xì"/>
    <n v="59800"/>
    <x v="1"/>
    <n v="0"/>
    <n v="0"/>
    <x v="2"/>
    <x v="0"/>
  </r>
  <r>
    <x v="0"/>
    <x v="10"/>
    <n v="44527"/>
    <x v="3"/>
    <x v="0"/>
    <x v="12"/>
    <x v="2"/>
    <x v="65"/>
    <s v="Đậu hũ chiên Ông Kim's 350gr"/>
    <s v="Hộp"/>
    <n v="10"/>
    <n v="3.5"/>
    <d v="1899-12-30T08:24:00"/>
    <n v="44368"/>
    <s v="Xì"/>
    <n v="149500"/>
    <x v="1"/>
    <n v="0"/>
    <n v="0"/>
    <x v="2"/>
    <x v="0"/>
  </r>
  <r>
    <x v="0"/>
    <x v="10"/>
    <n v="44527"/>
    <x v="3"/>
    <x v="0"/>
    <x v="12"/>
    <x v="2"/>
    <x v="65"/>
    <s v="Đậu hũ chiên Ông Kim's 350gr"/>
    <s v="Hộp"/>
    <n v="2"/>
    <n v="0.7"/>
    <d v="1899-12-30T08:24:00"/>
    <n v="44515"/>
    <s v="HÀNG BỊ XÌ"/>
    <n v="29900"/>
    <x v="1"/>
    <n v="0"/>
    <n v="0"/>
    <x v="2"/>
    <x v="0"/>
  </r>
  <r>
    <x v="0"/>
    <x v="10"/>
    <n v="44527"/>
    <x v="3"/>
    <x v="0"/>
    <x v="21"/>
    <x v="2"/>
    <x v="66"/>
    <s v="Đậu hũ miếng Bibigo Ông Kim's 250gr"/>
    <s v="Hộp"/>
    <n v="8"/>
    <n v="2"/>
    <d v="1899-12-30T06:00:00"/>
    <n v="44515"/>
    <s v="Bể"/>
    <n v="66800"/>
    <x v="2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10"/>
    <n v="2.2000000000000002"/>
    <d v="1899-12-30T05:16:48"/>
    <n v="44318"/>
    <s v="Bể"/>
    <n v="64000"/>
    <x v="1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1"/>
    <n v="0.22"/>
    <d v="1899-12-30T05:16:48"/>
    <n v="44388"/>
    <s v="Bể"/>
    <n v="6400"/>
    <x v="1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66"/>
    <n v="14.52"/>
    <d v="1899-12-30T05:16:48"/>
    <n v="44410"/>
    <s v="Hết Date"/>
    <n v="422400"/>
    <x v="1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40"/>
    <n v="8.8000000000000007"/>
    <d v="1899-12-30T05:16:48"/>
    <n v="44432"/>
    <s v="Hết Date"/>
    <n v="256000"/>
    <x v="1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10"/>
    <n v="2.2000000000000002"/>
    <d v="1899-12-30T05:16:48"/>
    <n v="44439"/>
    <s v="Hết Date"/>
    <n v="64000"/>
    <x v="1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3"/>
    <n v="0.66"/>
    <d v="1899-12-30T05:16:48"/>
    <n v="44501"/>
    <s v="Bể (16-10-21)"/>
    <n v="19200"/>
    <x v="2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1"/>
    <n v="0.22"/>
    <d v="1899-12-30T05:16:48"/>
    <n v="44508"/>
    <s v="Bị bể"/>
    <n v="6400"/>
    <x v="2"/>
    <n v="0"/>
    <n v="0"/>
    <x v="2"/>
    <x v="0"/>
  </r>
  <r>
    <x v="0"/>
    <x v="10"/>
    <n v="44527"/>
    <x v="3"/>
    <x v="0"/>
    <x v="21"/>
    <x v="2"/>
    <x v="87"/>
    <s v="Đậu hũ non Bibigo Ông Kim's 220gr"/>
    <s v="Túi"/>
    <n v="2"/>
    <n v="0.44"/>
    <d v="1899-12-30T05:16:48"/>
    <n v="44522"/>
    <s v="Bể"/>
    <n v="12800"/>
    <x v="2"/>
    <n v="0"/>
    <n v="0"/>
    <x v="2"/>
    <x v="0"/>
  </r>
  <r>
    <x v="0"/>
    <x v="10"/>
    <n v="44527"/>
    <x v="3"/>
    <x v="0"/>
    <x v="21"/>
    <x v="2"/>
    <x v="107"/>
    <s v="Đậu hũ non Bibigo Ông Kim's 250gr"/>
    <s v="Hộp"/>
    <n v="23"/>
    <n v="5.75"/>
    <d v="1899-12-30T06:00:00"/>
    <n v="44356"/>
    <s v="Xì"/>
    <n v="175950"/>
    <x v="1"/>
    <n v="0"/>
    <n v="0"/>
    <x v="2"/>
    <x v="0"/>
  </r>
  <r>
    <x v="0"/>
    <x v="10"/>
    <n v="44527"/>
    <x v="3"/>
    <x v="0"/>
    <x v="21"/>
    <x v="2"/>
    <x v="107"/>
    <s v="Đậu hũ non Bibigo Ông Kim's 250gr"/>
    <s v="Hộp"/>
    <n v="1"/>
    <n v="0.25"/>
    <d v="1899-12-30T06:00:00"/>
    <n v="44388"/>
    <s v="Xì"/>
    <n v="7650"/>
    <x v="1"/>
    <n v="0"/>
    <n v="0"/>
    <x v="2"/>
    <x v="0"/>
  </r>
  <r>
    <x v="0"/>
    <x v="10"/>
    <n v="44527"/>
    <x v="3"/>
    <x v="0"/>
    <x v="21"/>
    <x v="2"/>
    <x v="107"/>
    <s v="Đậu hũ non Bibigo Ông Kim's 250gr"/>
    <s v="Hộp"/>
    <n v="65"/>
    <n v="16.25"/>
    <d v="1899-12-30T06:00:00"/>
    <n v="44410"/>
    <s v="Hết Date"/>
    <n v="497250"/>
    <x v="1"/>
    <n v="0"/>
    <n v="0"/>
    <x v="2"/>
    <x v="0"/>
  </r>
  <r>
    <x v="0"/>
    <x v="10"/>
    <n v="44527"/>
    <x v="3"/>
    <x v="0"/>
    <x v="21"/>
    <x v="2"/>
    <x v="107"/>
    <s v="Đậu hũ non Bibigo Ông Kim's 250gr"/>
    <s v="Hộp"/>
    <n v="1"/>
    <n v="0.25"/>
    <d v="1899-12-30T06:00:00"/>
    <n v="44515"/>
    <s v="Bể"/>
    <n v="7650"/>
    <x v="2"/>
    <n v="0"/>
    <n v="0"/>
    <x v="2"/>
    <x v="0"/>
  </r>
  <r>
    <x v="0"/>
    <x v="10"/>
    <n v="44527"/>
    <x v="3"/>
    <x v="0"/>
    <x v="21"/>
    <x v="2"/>
    <x v="107"/>
    <s v="Đậu hũ non Bibigo Ông Kim's 250gr"/>
    <s v="Hộp"/>
    <n v="18"/>
    <n v="4.5"/>
    <d v="1899-12-30T06:00:00"/>
    <n v="44494"/>
    <s v="Bể"/>
    <n v="137700"/>
    <x v="2"/>
    <n v="0"/>
    <n v="0"/>
    <x v="2"/>
    <x v="0"/>
  </r>
  <r>
    <x v="0"/>
    <x v="10"/>
    <n v="44527"/>
    <x v="5"/>
    <x v="0"/>
    <x v="16"/>
    <x v="2"/>
    <x v="102"/>
    <s v="Deli bò viên  500g  40 viên/kg"/>
    <s v="Kg"/>
    <n v="23.5"/>
    <n v="23.5"/>
    <d v="1899-12-31T00:00:00"/>
    <n v="44426"/>
    <s v="Hết date ()"/>
    <n v="1532200"/>
    <x v="2"/>
    <n v="0"/>
    <n v="0"/>
    <x v="2"/>
    <x v="0"/>
  </r>
  <r>
    <x v="0"/>
    <x v="10"/>
    <n v="44527"/>
    <x v="5"/>
    <x v="0"/>
    <x v="16"/>
    <x v="2"/>
    <x v="108"/>
    <s v="Cá viên 500g 280 viên/kg"/>
    <s v="Kg"/>
    <n v="10.5"/>
    <n v="5.25"/>
    <d v="1899-12-30T12:00:00"/>
    <n v="44409"/>
    <s v="Hết Date"/>
    <n v="358472.99985000002"/>
    <x v="1"/>
    <n v="0.5"/>
    <n v="17070.14285"/>
    <x v="2"/>
    <x v="0"/>
  </r>
  <r>
    <x v="0"/>
    <x v="10"/>
    <n v="44527"/>
    <x v="5"/>
    <x v="0"/>
    <x v="16"/>
    <x v="2"/>
    <x v="112"/>
    <s v="Hương vị tôm viên 500g 160 viên/kg"/>
    <s v="Kg"/>
    <n v="6"/>
    <n v="3"/>
    <d v="1899-12-30T12:00:00"/>
    <n v="44438"/>
    <s v="Hết date ()"/>
    <n v="230439.33240000001"/>
    <x v="2"/>
    <n v="0"/>
    <n v="0"/>
    <x v="2"/>
    <x v="0"/>
  </r>
  <r>
    <x v="0"/>
    <x v="10"/>
    <n v="44527"/>
    <x v="5"/>
    <x v="0"/>
    <x v="24"/>
    <x v="2"/>
    <x v="113"/>
    <s v="Chả cá dây 500g"/>
    <s v="Kg"/>
    <n v="0.5"/>
    <n v="0.25"/>
    <d v="1899-12-30T12:00:00"/>
    <n v="44428"/>
    <s v="Hết date ()"/>
    <n v="22100.056550000001"/>
    <x v="1"/>
    <n v="0"/>
    <n v="0"/>
    <x v="2"/>
    <x v="0"/>
  </r>
  <r>
    <x v="0"/>
    <x v="10"/>
    <n v="44527"/>
    <x v="5"/>
    <x v="0"/>
    <x v="24"/>
    <x v="2"/>
    <x v="113"/>
    <s v="Chả cá dây 500g"/>
    <s v="Kg"/>
    <n v="16"/>
    <n v="8"/>
    <d v="1899-12-30T12:00:00"/>
    <n v="44453"/>
    <s v="Hết date ()"/>
    <n v="707201.80960000004"/>
    <x v="2"/>
    <n v="0"/>
    <n v="0"/>
    <x v="2"/>
    <x v="0"/>
  </r>
  <r>
    <x v="0"/>
    <x v="10"/>
    <n v="44527"/>
    <x v="3"/>
    <x v="0"/>
    <x v="12"/>
    <x v="2"/>
    <x v="53"/>
    <s v="Kim chi cải thảo cắt lát Ông Kim's 5kg (B2B) - GGG"/>
    <s v="Túi"/>
    <n v="28"/>
    <n v="140"/>
    <d v="1900-01-04T00:00:00"/>
    <n v="44421"/>
    <s v="Hết Date"/>
    <n v="3810928.5676000002"/>
    <x v="1"/>
    <n v="0"/>
    <n v="0"/>
    <x v="2"/>
    <x v="0"/>
  </r>
  <r>
    <x v="0"/>
    <x v="10"/>
    <n v="44527"/>
    <x v="3"/>
    <x v="0"/>
    <x v="12"/>
    <x v="2"/>
    <x v="53"/>
    <s v="Kim chi cải thảo cắt lát Ông Kim's 5kg (B2B) - GGG"/>
    <s v="Túi"/>
    <n v="3"/>
    <n v="15"/>
    <d v="1900-01-04T00:00:00"/>
    <n v="44426"/>
    <s v="Hết Date"/>
    <n v="408313.77510000003"/>
    <x v="1"/>
    <n v="0"/>
    <n v="0"/>
    <x v="2"/>
    <x v="0"/>
  </r>
  <r>
    <x v="0"/>
    <x v="10"/>
    <n v="44527"/>
    <x v="3"/>
    <x v="0"/>
    <x v="12"/>
    <x v="2"/>
    <x v="53"/>
    <s v="Kim chi cải thảo cắt lát Ông Kim's 5kg (B2B) - GGG"/>
    <s v="Túi"/>
    <n v="8"/>
    <n v="40"/>
    <d v="1900-01-04T00:00:00"/>
    <n v="44432"/>
    <s v="Hết Date"/>
    <n v="1088836.7335999999"/>
    <x v="1"/>
    <n v="0"/>
    <n v="0"/>
    <x v="2"/>
    <x v="0"/>
  </r>
  <r>
    <x v="0"/>
    <x v="10"/>
    <n v="44527"/>
    <x v="3"/>
    <x v="0"/>
    <x v="12"/>
    <x v="2"/>
    <x v="53"/>
    <s v="Kim chi cải thảo cắt lát Ông Kim's 5kg (B2B) - GGG"/>
    <s v="Túi"/>
    <n v="2"/>
    <n v="10"/>
    <d v="1900-01-04T00:00:00"/>
    <n v="44514"/>
    <s v="BỂ 2 TÚI TRONG THÙNG NGUYÊN GGG TRẢ VỀ"/>
    <n v="272209.18339999998"/>
    <x v="2"/>
    <n v="0"/>
    <n v="0"/>
    <x v="2"/>
    <x v="0"/>
  </r>
  <r>
    <x v="0"/>
    <x v="10"/>
    <n v="44527"/>
    <x v="3"/>
    <x v="0"/>
    <x v="12"/>
    <x v="2"/>
    <x v="53"/>
    <s v="Kim chi cải thảo cắt lát Ông Kim's 5kg (B2B) - GGG"/>
    <s v="Túi"/>
    <n v="6"/>
    <n v="30"/>
    <d v="1900-01-04T00:00:00"/>
    <n v="44563"/>
    <s v="Bể"/>
    <n v="816627.55020000006"/>
    <x v="2"/>
    <n v="0"/>
    <n v="0"/>
    <x v="2"/>
    <x v="0"/>
  </r>
  <r>
    <x v="0"/>
    <x v="10"/>
    <n v="44527"/>
    <x v="3"/>
    <x v="0"/>
    <x v="12"/>
    <x v="2"/>
    <x v="85"/>
    <s v="Bibigo Kimchi cải thảo cắt lát 100gr"/>
    <s v="Túi"/>
    <n v="30"/>
    <n v="3"/>
    <d v="1899-12-30T02:24:00"/>
    <n v="44332"/>
    <s v="Xì"/>
    <n v="221999.96400000001"/>
    <x v="1"/>
    <n v="0"/>
    <n v="0"/>
    <x v="2"/>
    <x v="0"/>
  </r>
  <r>
    <x v="0"/>
    <x v="10"/>
    <n v="44527"/>
    <x v="3"/>
    <x v="0"/>
    <x v="12"/>
    <x v="2"/>
    <x v="85"/>
    <s v="Bibigo Kimchi cải thảo cắt lát 100gr"/>
    <s v="Túi"/>
    <n v="12"/>
    <n v="1.2000000000000002"/>
    <d v="1899-12-30T02:24:00"/>
    <n v="44401"/>
    <s v="Xì"/>
    <n v="88799.9856"/>
    <x v="1"/>
    <n v="0"/>
    <n v="0"/>
    <x v="2"/>
    <x v="0"/>
  </r>
  <r>
    <x v="0"/>
    <x v="10"/>
    <n v="44527"/>
    <x v="3"/>
    <x v="0"/>
    <x v="12"/>
    <x v="2"/>
    <x v="85"/>
    <s v="Bibigo Kimchi cải thảo cắt lát 100gr"/>
    <s v="Túi"/>
    <n v="4"/>
    <n v="0.4"/>
    <d v="1899-12-30T02:24:00"/>
    <n v="44433"/>
    <s v="Xì"/>
    <n v="29599.995200000001"/>
    <x v="1"/>
    <n v="0"/>
    <n v="0"/>
    <x v="2"/>
    <x v="0"/>
  </r>
  <r>
    <x v="0"/>
    <x v="10"/>
    <n v="44527"/>
    <x v="3"/>
    <x v="0"/>
    <x v="12"/>
    <x v="2"/>
    <x v="41"/>
    <s v="Bibigo Kimchi cải thảo chay 500gr"/>
    <s v="Hộp"/>
    <n v="24"/>
    <n v="12"/>
    <d v="1899-12-30T12:00:00"/>
    <n v="44446"/>
    <s v="Hết Date"/>
    <n v="624000.88320000004"/>
    <x v="2"/>
    <n v="0"/>
    <n v="0"/>
    <x v="2"/>
    <x v="0"/>
  </r>
  <r>
    <x v="0"/>
    <x v="10"/>
    <n v="44527"/>
    <x v="3"/>
    <x v="0"/>
    <x v="12"/>
    <x v="2"/>
    <x v="31"/>
    <s v="Bibigo Kimchi cải thảo - ngò 100gr"/>
    <s v="Túi"/>
    <n v="25"/>
    <n v="2.5"/>
    <d v="1899-12-30T02:24:00"/>
    <n v="44305"/>
    <s v="Hết Date"/>
    <n v="187499.06"/>
    <x v="1"/>
    <n v="0"/>
    <n v="0"/>
    <x v="2"/>
    <x v="0"/>
  </r>
  <r>
    <x v="0"/>
    <x v="10"/>
    <n v="44527"/>
    <x v="3"/>
    <x v="0"/>
    <x v="12"/>
    <x v="2"/>
    <x v="31"/>
    <s v="Bibigo Kimchi cải thảo - ngò 100gr"/>
    <s v="Túi"/>
    <n v="15"/>
    <n v="1.5"/>
    <d v="1899-12-30T02:24:00"/>
    <n v="44468"/>
    <s v="Xì"/>
    <n v="112499.436"/>
    <x v="1"/>
    <n v="4"/>
    <n v="29999.849600000001"/>
    <x v="2"/>
    <x v="0"/>
  </r>
  <r>
    <x v="0"/>
    <x v="10"/>
    <n v="44527"/>
    <x v="3"/>
    <x v="0"/>
    <x v="0"/>
    <x v="2"/>
    <x v="68"/>
    <s v="Bibigo Kimchi cải thảo - ngò 500gr"/>
    <s v="Hộp"/>
    <n v="1"/>
    <n v="0.5"/>
    <d v="1899-12-30T12:00:00"/>
    <n v="44531"/>
    <s v="Bể"/>
    <n v="27500.090400000001"/>
    <x v="2"/>
    <n v="0"/>
    <n v="0"/>
    <x v="2"/>
    <x v="0"/>
  </r>
  <r>
    <x v="0"/>
    <x v="10"/>
    <n v="44527"/>
    <x v="3"/>
    <x v="0"/>
    <x v="12"/>
    <x v="2"/>
    <x v="55"/>
    <s v="Bibigo Kimchi cải thảo cây 5kg"/>
    <s v="Bịch"/>
    <n v="6"/>
    <n v="30"/>
    <d v="1900-01-04T00:00:00"/>
    <n v="44292"/>
    <s v="Hết Date"/>
    <n v="1172999.9561999999"/>
    <x v="0"/>
    <n v="6"/>
    <n v="1172999.9561999999"/>
    <x v="2"/>
    <x v="0"/>
  </r>
  <r>
    <x v="0"/>
    <x v="10"/>
    <n v="44527"/>
    <x v="3"/>
    <x v="0"/>
    <x v="12"/>
    <x v="2"/>
    <x v="55"/>
    <s v="Bibigo Kimchi cải thảo cây 5kg"/>
    <s v="Bịch"/>
    <n v="16"/>
    <n v="80"/>
    <d v="1900-01-04T00:00:00"/>
    <n v="44373"/>
    <s v="Bể"/>
    <n v="3127999.8832"/>
    <x v="0"/>
    <n v="16"/>
    <n v="3127999.8832"/>
    <x v="2"/>
    <x v="0"/>
  </r>
  <r>
    <x v="0"/>
    <x v="10"/>
    <n v="44527"/>
    <x v="3"/>
    <x v="0"/>
    <x v="12"/>
    <x v="2"/>
    <x v="55"/>
    <s v="Bibigo Kimchi cải thảo cây 5kg"/>
    <s v="Bịch"/>
    <n v="1"/>
    <n v="5"/>
    <d v="1900-01-04T00:00:00"/>
    <n v="44412"/>
    <s v="Bể"/>
    <n v="195499.9927"/>
    <x v="0"/>
    <n v="1"/>
    <n v="195499.9927"/>
    <x v="2"/>
    <x v="0"/>
  </r>
  <r>
    <x v="0"/>
    <x v="10"/>
    <n v="44527"/>
    <x v="3"/>
    <x v="0"/>
    <x v="12"/>
    <x v="2"/>
    <x v="55"/>
    <s v="Bibigo Kimchi cải thảo cây 5kg"/>
    <s v="Bịch"/>
    <n v="2"/>
    <n v="10"/>
    <d v="1900-01-04T00:00:00"/>
    <n v="44521"/>
    <s v="Bể"/>
    <n v="390999.98540000001"/>
    <x v="2"/>
    <n v="0"/>
    <n v="0"/>
    <x v="2"/>
    <x v="0"/>
  </r>
  <r>
    <x v="0"/>
    <x v="10"/>
    <n v="44527"/>
    <x v="3"/>
    <x v="0"/>
    <x v="12"/>
    <x v="2"/>
    <x v="55"/>
    <s v="Bibigo Kimchi cải thảo cây 5kg"/>
    <s v="Bịch"/>
    <n v="1"/>
    <n v="5"/>
    <d v="1900-01-04T00:00:00"/>
    <n v="44554"/>
    <s v="Bể"/>
    <n v="195499.9927"/>
    <x v="2"/>
    <n v="0"/>
    <n v="0"/>
    <x v="2"/>
    <x v="0"/>
  </r>
  <r>
    <x v="0"/>
    <x v="10"/>
    <n v="44527"/>
    <x v="3"/>
    <x v="0"/>
    <x v="12"/>
    <x v="2"/>
    <x v="55"/>
    <s v="Bibigo Kimchi cải thảo cây 5kg"/>
    <s v="Bịch"/>
    <n v="2"/>
    <n v="10"/>
    <d v="1900-01-04T00:00:00"/>
    <n v="44557"/>
    <s v="Bể"/>
    <n v="390999.98540000001"/>
    <x v="2"/>
    <n v="0"/>
    <n v="0"/>
    <x v="2"/>
    <x v="0"/>
  </r>
  <r>
    <x v="0"/>
    <x v="10"/>
    <n v="44527"/>
    <x v="3"/>
    <x v="0"/>
    <x v="12"/>
    <x v="2"/>
    <x v="94"/>
    <s v="Bibigo Kimchi cải thảo cây 5kg - GGG"/>
    <s v="Bịch"/>
    <n v="4"/>
    <n v="20"/>
    <d v="1900-01-04T00:00:00"/>
    <n v="44381"/>
    <s v="Bể"/>
    <n v="607617.91840000008"/>
    <x v="2"/>
    <n v="0"/>
    <n v="0"/>
    <x v="2"/>
    <x v="0"/>
  </r>
  <r>
    <x v="0"/>
    <x v="10"/>
    <n v="44527"/>
    <x v="3"/>
    <x v="0"/>
    <x v="12"/>
    <x v="2"/>
    <x v="94"/>
    <s v="Bibigo Kimchi cải thảo cây 5kg - GGG"/>
    <s v="Bịch"/>
    <n v="4"/>
    <n v="20"/>
    <d v="1900-01-04T00:00:00"/>
    <n v="44458"/>
    <s v="Bể"/>
    <n v="607617.91840000008"/>
    <x v="1"/>
    <n v="0"/>
    <n v="0"/>
    <x v="2"/>
    <x v="0"/>
  </r>
  <r>
    <x v="0"/>
    <x v="10"/>
    <n v="44527"/>
    <x v="3"/>
    <x v="0"/>
    <x v="12"/>
    <x v="2"/>
    <x v="339"/>
    <s v="Bibigo Kimchi cải thảo cắt lát 3kg"/>
    <s v="Túi"/>
    <n v="3"/>
    <n v="9"/>
    <d v="1900-01-02T00:00:00"/>
    <n v="44422"/>
    <s v="Bể"/>
    <n v="354000"/>
    <x v="2"/>
    <n v="0"/>
    <n v="0"/>
    <x v="2"/>
    <x v="0"/>
  </r>
  <r>
    <x v="0"/>
    <x v="10"/>
    <n v="44527"/>
    <x v="3"/>
    <x v="0"/>
    <x v="12"/>
    <x v="2"/>
    <x v="339"/>
    <s v="Bibigo Kimchi cải thảo cắt lát 3kg"/>
    <s v="Túi"/>
    <n v="1"/>
    <n v="3"/>
    <d v="1900-01-02T00:00:00"/>
    <n v="44470"/>
    <s v="Bể"/>
    <n v="118000"/>
    <x v="1"/>
    <n v="0"/>
    <n v="0"/>
    <x v="2"/>
    <x v="0"/>
  </r>
  <r>
    <x v="0"/>
    <x v="10"/>
    <n v="44527"/>
    <x v="3"/>
    <x v="0"/>
    <x v="12"/>
    <x v="2"/>
    <x v="339"/>
    <s v="Bibigo Kimchi cải thảo cắt lát 3kg"/>
    <s v="Túi"/>
    <n v="1"/>
    <n v="3"/>
    <d v="1900-01-02T00:00:00"/>
    <n v="44513"/>
    <s v="Bể (17-9)"/>
    <n v="118000"/>
    <x v="2"/>
    <n v="0"/>
    <n v="0"/>
    <x v="2"/>
    <x v="0"/>
  </r>
  <r>
    <x v="0"/>
    <x v="10"/>
    <n v="44527"/>
    <x v="3"/>
    <x v="0"/>
    <x v="12"/>
    <x v="2"/>
    <x v="18"/>
    <s v="Kim chi cải thảo cắt lát Ông Kim's 300g"/>
    <s v="Hộp"/>
    <n v="7"/>
    <n v="2.1"/>
    <d v="1899-12-30T07:12:00"/>
    <n v="44469"/>
    <s v="Bể"/>
    <n v="79100.004199999996"/>
    <x v="2"/>
    <n v="0"/>
    <n v="0"/>
    <x v="2"/>
    <x v="0"/>
  </r>
  <r>
    <x v="0"/>
    <x v="10"/>
    <n v="44527"/>
    <x v="5"/>
    <x v="0"/>
    <x v="24"/>
    <x v="2"/>
    <x v="76"/>
    <s v="Chả Lụa 3 khỏe 500g"/>
    <s v="Cây"/>
    <n v="1"/>
    <n v="0.5"/>
    <d v="1899-12-30T12:00:00"/>
    <n v="44450"/>
    <s v="Hết Date"/>
    <n v="44199.999300000003"/>
    <x v="2"/>
    <n v="0"/>
    <n v="0"/>
    <x v="2"/>
    <x v="0"/>
  </r>
  <r>
    <x v="0"/>
    <x v="10"/>
    <n v="44527"/>
    <x v="5"/>
    <x v="0"/>
    <x v="24"/>
    <x v="2"/>
    <x v="76"/>
    <s v="Chả Lụa 3 khỏe 500g"/>
    <s v="Cây"/>
    <n v="1"/>
    <n v="0.5"/>
    <d v="1899-12-30T12:00:00"/>
    <n v="44516"/>
    <s v="Không có Tem"/>
    <n v="44199.999300000003"/>
    <x v="2"/>
    <n v="0"/>
    <n v="0"/>
    <x v="2"/>
    <x v="0"/>
  </r>
  <r>
    <x v="0"/>
    <x v="10"/>
    <n v="44527"/>
    <x v="5"/>
    <x v="0"/>
    <x v="11"/>
    <x v="2"/>
    <x v="26"/>
    <s v="Chả cá viên 500g"/>
    <s v="Túi"/>
    <n v="2"/>
    <n v="1"/>
    <d v="1899-12-30T12:00:00"/>
    <n v="44408"/>
    <s v="Xì"/>
    <n v="70799.999200000006"/>
    <x v="2"/>
    <n v="0"/>
    <n v="0"/>
    <x v="2"/>
    <x v="0"/>
  </r>
  <r>
    <x v="0"/>
    <x v="10"/>
    <n v="44527"/>
    <x v="5"/>
    <x v="0"/>
    <x v="11"/>
    <x v="2"/>
    <x v="26"/>
    <s v="Chả cá viên 500g"/>
    <s v="Túi"/>
    <n v="10"/>
    <n v="5"/>
    <d v="1899-12-30T12:00:00"/>
    <n v="44441"/>
    <s v="Xì"/>
    <n v="353999.99600000004"/>
    <x v="2"/>
    <n v="0"/>
    <n v="0"/>
    <x v="2"/>
    <x v="0"/>
  </r>
  <r>
    <x v="0"/>
    <x v="10"/>
    <n v="44527"/>
    <x v="5"/>
    <x v="0"/>
    <x v="11"/>
    <x v="2"/>
    <x v="26"/>
    <s v="Chả cá viên 500g"/>
    <s v="Túi"/>
    <n v="6"/>
    <n v="3"/>
    <d v="1899-12-30T12:00:00"/>
    <n v="44558"/>
    <s v="Xì Chân không"/>
    <n v="212399.9976"/>
    <x v="2"/>
    <n v="0"/>
    <n v="0"/>
    <x v="2"/>
    <x v="0"/>
  </r>
  <r>
    <x v="0"/>
    <x v="10"/>
    <n v="44527"/>
    <x v="5"/>
    <x v="0"/>
    <x v="23"/>
    <x v="2"/>
    <x v="110"/>
    <s v="Xúc Xích 3 Khỏe – REAL 50g x 10 cây - Gói 500g"/>
    <s v="Gói"/>
    <n v="2"/>
    <n v="1"/>
    <d v="1899-12-30T12:00:00"/>
    <n v="44487"/>
    <s v="Xì"/>
    <n v="58200"/>
    <x v="1"/>
    <n v="0"/>
    <n v="0"/>
    <x v="2"/>
    <x v="0"/>
  </r>
  <r>
    <x v="0"/>
    <x v="10"/>
    <n v="44527"/>
    <x v="5"/>
    <x v="0"/>
    <x v="24"/>
    <x v="2"/>
    <x v="9"/>
    <s v="Chả Lụa Quết Thượng Hạng 500g (mát)"/>
    <s v="Gói"/>
    <n v="1"/>
    <n v="0.5"/>
    <d v="1899-12-30T12:00:00"/>
    <n v="44458"/>
    <s v="Không có Tem"/>
    <n v="66800.000599999999"/>
    <x v="1"/>
    <n v="0"/>
    <n v="0"/>
    <x v="2"/>
    <x v="0"/>
  </r>
  <r>
    <x v="0"/>
    <x v="10"/>
    <n v="44527"/>
    <x v="1"/>
    <x v="0"/>
    <x v="37"/>
    <x v="2"/>
    <x v="126"/>
    <s v="Cầu Tre Pure bánh tráng chả giò 280g"/>
    <s v="Gói"/>
    <n v="4"/>
    <n v="1.1200000000000001"/>
    <d v="1899-12-30T06:43:12"/>
    <n v="44572"/>
    <s v="HÀNG THU HỒI NPP NGUYÊN HÂN KO ĐẠT"/>
    <n v="49665.454400000002"/>
    <x v="2"/>
    <n v="0"/>
    <n v="0"/>
    <x v="2"/>
    <x v="0"/>
  </r>
  <r>
    <x v="0"/>
    <x v="10"/>
    <n v="44527"/>
    <x v="7"/>
    <x v="0"/>
    <x v="37"/>
    <x v="2"/>
    <x v="262"/>
    <s v="Bột Chiên Giòn - Gói 1Kg"/>
    <s v="Túi"/>
    <n v="71"/>
    <n v="71"/>
    <d v="1899-12-31T00:00:00"/>
    <n v="44480"/>
    <s v="NHẬP HÀNG THU HỒI NPP NGÂN KHÁNH (VỊ TRÍ F12 KO ĐẠT)"/>
    <n v="1590866.3208999999"/>
    <x v="2"/>
    <n v="0"/>
    <n v="0"/>
    <x v="2"/>
    <x v="0"/>
  </r>
  <r>
    <x v="0"/>
    <x v="10"/>
    <n v="44527"/>
    <x v="7"/>
    <x v="0"/>
    <x v="30"/>
    <x v="2"/>
    <x v="158"/>
    <s v="Bột mì loại 1 - 20KG"/>
    <s v="Bao"/>
    <n v="1"/>
    <n v="20"/>
    <d v="1900-01-19T00:00:00"/>
    <n v="44623"/>
    <s v="Rách do vướng thang lúc xuất hàng"/>
    <n v="410918.44290000002"/>
    <x v="1"/>
    <n v="0"/>
    <n v="0"/>
    <x v="2"/>
    <x v="0"/>
  </r>
  <r>
    <x v="0"/>
    <x v="10"/>
    <n v="44527"/>
    <x v="7"/>
    <x v="0"/>
    <x v="30"/>
    <x v="2"/>
    <x v="158"/>
    <s v="Bột mì loại 1 - 20KG"/>
    <s v="Bao"/>
    <n v="2"/>
    <n v="40"/>
    <d v="1900-01-19T00:00:00"/>
    <n v="44654"/>
    <s v="CHUYỂN HÀNG RÁCH DO VẬN CHUYỂN TRÊN THANG NGÀY 18/9/2021"/>
    <n v="821836.88580000005"/>
    <x v="1"/>
    <n v="0"/>
    <n v="0"/>
    <x v="2"/>
    <x v="0"/>
  </r>
  <r>
    <x v="0"/>
    <x v="10"/>
    <n v="44527"/>
    <x v="7"/>
    <x v="0"/>
    <x v="30"/>
    <x v="2"/>
    <x v="347"/>
    <s v="Dầu mè đậm đặc 320ml"/>
    <s v="Chai"/>
    <n v="62"/>
    <n v="19.84"/>
    <d v="1899-12-30T07:40:48"/>
    <n v="44463"/>
    <s v="Hàng thu hồi của NPP Ngọc Tấn Tài"/>
    <n v="3073785.9287999999"/>
    <x v="2"/>
    <n v="0"/>
    <n v="0"/>
    <x v="2"/>
    <x v="0"/>
  </r>
  <r>
    <x v="0"/>
    <x v="10"/>
    <n v="44527"/>
    <x v="7"/>
    <x v="0"/>
    <x v="30"/>
    <x v="2"/>
    <x v="260"/>
    <s v="Dầu mè đậm đặc 110ml"/>
    <s v="Chai"/>
    <n v="6"/>
    <n v="0.66"/>
    <d v="1899-12-30T02:38:24"/>
    <n v="45130"/>
    <s v="Hàng bể bị lem trong thùng"/>
    <n v="133799.89499999999"/>
    <x v="1"/>
    <n v="0"/>
    <n v="0"/>
    <x v="2"/>
    <x v="0"/>
  </r>
  <r>
    <x v="0"/>
    <x v="10"/>
    <n v="44527"/>
    <x v="4"/>
    <x v="0"/>
    <x v="32"/>
    <x v="2"/>
    <x v="261"/>
    <s v="(HAECHANDLE) Tương đậu truyền thống 14KG"/>
    <s v="Thùng"/>
    <n v="1"/>
    <n v="14"/>
    <d v="1900-01-13T00:00:00"/>
    <n v="44734"/>
    <s v="Phạm Ngọc Linh trả tương bị đen( bị khui thùng)"/>
    <n v="334846.85249999998"/>
    <x v="2"/>
    <n v="0"/>
    <n v="0"/>
    <x v="2"/>
    <x v="0"/>
  </r>
  <r>
    <x v="0"/>
    <x v="10"/>
    <n v="44527"/>
    <x v="4"/>
    <x v="0"/>
    <x v="32"/>
    <x v="2"/>
    <x v="248"/>
    <s v="Tương trộn ăn liền gold 14KG"/>
    <s v="Thùng"/>
    <n v="1"/>
    <n v="15"/>
    <d v="1900-01-14T00:00:00"/>
    <n v="44724"/>
    <s v="hàng bị mốc"/>
    <n v="407258.73729999998"/>
    <x v="2"/>
    <n v="0"/>
    <n v="0"/>
    <x v="2"/>
    <x v="0"/>
  </r>
  <r>
    <x v="0"/>
    <x v="10"/>
    <n v="44527"/>
    <x v="2"/>
    <x v="0"/>
    <x v="34"/>
    <x v="2"/>
    <x v="140"/>
    <s v="Thực Phẩm Bảo Vệ Sức Khỏe INNERB AQUA RICH DOUBLEUP (42G*20EA/CT)"/>
    <s v="Hộp"/>
    <n v="3"/>
    <n v="1.2000000000000002"/>
    <d v="1899-12-30T09:36:00"/>
    <n v="44994"/>
    <s v="HÀNG LỖI THU HỒI CỦA NPP NGUYỄN VĂN HIỆU"/>
    <n v="620888.05379999999"/>
    <x v="2"/>
    <n v="0"/>
    <n v="0"/>
    <x v="2"/>
    <x v="0"/>
  </r>
  <r>
    <x v="0"/>
    <x v="10"/>
    <n v="44527"/>
    <x v="2"/>
    <x v="0"/>
    <x v="34"/>
    <x v="2"/>
    <x v="140"/>
    <s v="Thực Phẩm Bảo Vệ Sức Khỏe INNERB AQUA RICH DOUBLEUP (42G*20EA/CT)"/>
    <s v="Hộp"/>
    <n v="5"/>
    <n v="2"/>
    <d v="1899-12-30T09:36:00"/>
    <n v="44996"/>
    <s v="HÀNG LỖI THU HỒI CỦA NPP NGUYỄN VĂN HIỆU"/>
    <n v="1034813.423"/>
    <x v="2"/>
    <n v="0"/>
    <n v="0"/>
    <x v="2"/>
    <x v="0"/>
  </r>
  <r>
    <x v="0"/>
    <x v="10"/>
    <n v="44527"/>
    <x v="4"/>
    <x v="0"/>
    <x v="25"/>
    <x v="2"/>
    <x v="153"/>
    <s v="Xốt ướp Bulgogi cay 10KG"/>
    <s v="Thùng"/>
    <n v="1"/>
    <n v="10"/>
    <d v="1900-01-09T00:00:00"/>
    <n v="44610"/>
    <s v="Thùng bị nứt"/>
    <n v="445621.07809999998"/>
    <x v="1"/>
    <n v="0"/>
    <n v="0"/>
    <x v="2"/>
    <x v="0"/>
  </r>
  <r>
    <x v="0"/>
    <x v="10"/>
    <n v="44527"/>
    <x v="4"/>
    <x v="0"/>
    <x v="25"/>
    <x v="2"/>
    <x v="192"/>
    <s v="(BEKSUL) Xốt ướp Bulgogi heo 290G"/>
    <s v="Hũ"/>
    <n v="1"/>
    <n v="0.28999999999999998"/>
    <d v="1899-12-30T06:57:36"/>
    <n v="44876"/>
    <s v="Bị bể trong thùng"/>
    <n v="18397.783100000001"/>
    <x v="1"/>
    <n v="0"/>
    <n v="0"/>
    <x v="2"/>
    <x v="0"/>
  </r>
  <r>
    <x v="0"/>
    <x v="10"/>
    <n v="44527"/>
    <x v="4"/>
    <x v="0"/>
    <x v="25"/>
    <x v="2"/>
    <x v="192"/>
    <s v="(BEKSUL) Xốt ướp Bulgogi heo 290G"/>
    <s v="Hũ"/>
    <n v="1"/>
    <n v="0.28999999999999998"/>
    <d v="1899-12-30T06:57:36"/>
    <n v="44974"/>
    <s v="Hàng bị bể"/>
    <n v="18397.783100000001"/>
    <x v="1"/>
    <n v="0"/>
    <n v="0"/>
    <x v="2"/>
    <x v="0"/>
  </r>
  <r>
    <x v="0"/>
    <x v="10"/>
    <n v="44527"/>
    <x v="4"/>
    <x v="0"/>
    <x v="25"/>
    <x v="2"/>
    <x v="133"/>
    <s v="CJ Bibigo Xốt ướp thịt Bulgogi - Vị mặn ngọt 80 gr"/>
    <s v="Gói"/>
    <n v="22"/>
    <n v="1.76"/>
    <d v="1899-12-30T01:55:12"/>
    <n v="44546"/>
    <s v="Hàng bị xì Kizuna chuyển về"/>
    <n v="67825.538"/>
    <x v="2"/>
    <n v="0"/>
    <n v="0"/>
    <x v="2"/>
    <x v="0"/>
  </r>
  <r>
    <x v="0"/>
    <x v="10"/>
    <n v="44527"/>
    <x v="4"/>
    <x v="0"/>
    <x v="25"/>
    <x v="2"/>
    <x v="133"/>
    <s v="CJ Bibigo Xốt ướp thịt Bulgogi - Vị mặn ngọt 80 gr"/>
    <s v="Gói"/>
    <n v="11"/>
    <n v="0.88"/>
    <d v="1899-12-30T01:55:12"/>
    <n v="44546"/>
    <s v="HÀNG BỊ NHIỄM LẠNH KHO MÁT QUẤN KIMCHI"/>
    <n v="33912.769"/>
    <x v="2"/>
    <n v="0"/>
    <n v="0"/>
    <x v="2"/>
    <x v="0"/>
  </r>
  <r>
    <x v="0"/>
    <x v="10"/>
    <n v="44527"/>
    <x v="2"/>
    <x v="0"/>
    <x v="7"/>
    <x v="2"/>
    <x v="148"/>
    <s v="Trà Oolong - Hộp 200G"/>
    <s v="Hộp"/>
    <n v="10"/>
    <n v="2"/>
    <d v="1899-12-30T04:48:00"/>
    <n v="44472"/>
    <s v="Satra trả"/>
    <n v="807263.93500000006"/>
    <x v="2"/>
    <n v="0"/>
    <n v="0"/>
    <x v="2"/>
    <x v="0"/>
  </r>
  <r>
    <x v="0"/>
    <x v="10"/>
    <n v="44527"/>
    <x v="4"/>
    <x v="0"/>
    <x v="25"/>
    <x v="2"/>
    <x v="190"/>
    <s v="(BEKSUL) Xốt ướp Bulgogi bò 290G"/>
    <s v="Hũ"/>
    <n v="1"/>
    <n v="0.28999999999999998"/>
    <d v="1899-12-30T06:57:36"/>
    <n v="44984"/>
    <s v="Hàng bị bể"/>
    <n v="16912.733800000002"/>
    <x v="2"/>
    <n v="0"/>
    <n v="0"/>
    <x v="2"/>
    <x v="0"/>
  </r>
  <r>
    <x v="0"/>
    <x v="10"/>
    <n v="44527"/>
    <x v="2"/>
    <x v="0"/>
    <x v="7"/>
    <x v="2"/>
    <x v="186"/>
    <s v="Trà Oolong túi lọc thường (hộp 25 gói)"/>
    <s v="Hộp"/>
    <n v="252"/>
    <n v="25.200000000000003"/>
    <d v="1899-12-30T02:24:00"/>
    <n v="44854"/>
    <s v="(blank)"/>
    <n v="3881919.9887999999"/>
    <x v="1"/>
    <n v="0"/>
    <n v="0"/>
    <x v="2"/>
    <x v="0"/>
  </r>
  <r>
    <x v="0"/>
    <x v="10"/>
    <n v="44526"/>
    <x v="8"/>
    <x v="1"/>
    <x v="22"/>
    <x v="1"/>
    <x v="150"/>
    <s v="Bột trộn sẵn Breader 10 kg"/>
    <s v="Kg"/>
    <n v="294.5"/>
    <m/>
    <d v="1899-12-31T00:00:00"/>
    <n v="44487"/>
    <s v="Low usage, already approved for staff sales but cannot be sold up"/>
    <n v="11191000"/>
    <x v="0"/>
    <n v="294.5"/>
    <n v="11191000"/>
    <x v="2"/>
    <x v="0"/>
  </r>
  <r>
    <x v="0"/>
    <x v="10"/>
    <n v="44526"/>
    <x v="8"/>
    <x v="1"/>
    <x v="22"/>
    <x v="1"/>
    <x v="348"/>
    <s v="Gia vị kim chi for SNACK SEAWEED 25g"/>
    <s v="Kg"/>
    <n v="169.15"/>
    <m/>
    <d v="1899-12-31T00:00:00"/>
    <n v="44383"/>
    <s v="No usage plan, deMKT already in the past."/>
    <n v="51797794.999999993"/>
    <x v="0"/>
    <n v="169.15"/>
    <n v="51797794.999999993"/>
    <x v="2"/>
    <x v="0"/>
  </r>
  <r>
    <x v="0"/>
    <x v="10"/>
    <n v="44526"/>
    <x v="8"/>
    <x v="1"/>
    <x v="22"/>
    <x v="1"/>
    <x v="349"/>
    <s v="Hương bắp GF150407-1"/>
    <s v="Kg"/>
    <n v="13.13"/>
    <m/>
    <d v="1899-12-31T00:00:00"/>
    <n v="44322"/>
    <s v="WH returns"/>
    <n v="5028790"/>
    <x v="0"/>
    <n v="13.13"/>
    <n v="5028790"/>
    <x v="2"/>
    <x v="0"/>
  </r>
  <r>
    <x v="0"/>
    <x v="10"/>
    <n v="44526"/>
    <x v="8"/>
    <x v="1"/>
    <x v="22"/>
    <x v="1"/>
    <x v="350"/>
    <s v="Chất chống Oxy hóa cho rong biển"/>
    <s v="LIT"/>
    <n v="30.9"/>
    <m/>
    <d v="1899-12-31T00:00:00"/>
    <n v="44532"/>
    <s v="Run out a part, remaining stock quantities need disposal due to no usage plan"/>
    <n v="59542538.700000003"/>
    <x v="0"/>
    <n v="30.9"/>
    <n v="59542538.700000003"/>
    <x v="2"/>
    <x v="0"/>
  </r>
  <r>
    <x v="0"/>
    <x v="10"/>
    <n v="44526"/>
    <x v="8"/>
    <x v="1"/>
    <x v="22"/>
    <x v="3"/>
    <x v="238"/>
    <s v="Bột gia vị kim chi (kimchi flavor soup powder)"/>
    <s v="Kg"/>
    <n v="140"/>
    <m/>
    <d v="1899-12-31T00:00:00"/>
    <n v="44521"/>
    <s v="R&amp;D booked for trial for LCBM, but the item was falied and couldn't use for production"/>
    <n v="28140000"/>
    <x v="0"/>
    <n v="140"/>
    <n v="28140000"/>
    <x v="2"/>
    <x v="0"/>
  </r>
  <r>
    <x v="0"/>
    <x v="11"/>
    <n v="44552"/>
    <x v="8"/>
    <x v="1"/>
    <x v="22"/>
    <x v="1"/>
    <x v="351"/>
    <s v="Antifoam TJ-2000"/>
    <s v="Kg"/>
    <n v="40"/>
    <m/>
    <d v="1899-12-31T00:00:00"/>
    <n v="44566"/>
    <s v="low used"/>
    <n v="10104372"/>
    <x v="0"/>
    <n v="40"/>
    <n v="10104372"/>
    <x v="2"/>
    <x v="0"/>
  </r>
  <r>
    <x v="0"/>
    <x v="11"/>
    <n v="44552"/>
    <x v="8"/>
    <x v="1"/>
    <x v="22"/>
    <x v="4"/>
    <x v="351"/>
    <s v="Antifoam TJ-2000"/>
    <s v="Kg"/>
    <n v="160"/>
    <m/>
    <d v="1899-12-31T00:00:00"/>
    <n v="44566"/>
    <s v="lowused"/>
    <n v="40417488"/>
    <x v="0"/>
    <n v="160"/>
    <n v="40417488"/>
    <x v="2"/>
    <x v="1"/>
  </r>
  <r>
    <x v="0"/>
    <x v="11"/>
    <n v="44551"/>
    <x v="8"/>
    <x v="1"/>
    <x v="22"/>
    <x v="1"/>
    <x v="330"/>
    <s v="Thịt bò nạt/ Fresh beef meat trimming"/>
    <s v="Kg"/>
    <n v="95"/>
    <m/>
    <d v="1899-12-31T00:00:00"/>
    <n v="44376"/>
    <s v="quality issue"/>
    <n v="9542655"/>
    <x v="0"/>
    <n v="95"/>
    <n v="9542655"/>
    <x v="2"/>
    <x v="0"/>
  </r>
  <r>
    <x v="0"/>
    <x v="11"/>
    <n v="44551"/>
    <x v="8"/>
    <x v="1"/>
    <x v="22"/>
    <x v="1"/>
    <x v="330"/>
    <s v="Thịt bò nạt/ Fresh beef meat trimming"/>
    <s v="Kg"/>
    <n v="227"/>
    <m/>
    <d v="1899-12-31T00:00:00"/>
    <n v="44517"/>
    <s v="quality issue"/>
    <n v="22801923"/>
    <x v="0"/>
    <n v="227"/>
    <n v="22801923"/>
    <x v="2"/>
    <x v="0"/>
  </r>
  <r>
    <x v="0"/>
    <x v="11"/>
    <n v="44559"/>
    <x v="8"/>
    <x v="1"/>
    <x v="22"/>
    <x v="1"/>
    <x v="352"/>
    <s v="Gia vị CJ Tokgalbi_Mix 1"/>
    <s v="Kg"/>
    <n v="6.08"/>
    <m/>
    <d v="1899-12-31T00:00:00"/>
    <n v="44315"/>
    <s v="Foseca factory closed"/>
    <n v="434452.72319999989"/>
    <x v="0"/>
    <n v="6.08"/>
    <n v="434452.72319999989"/>
    <x v="2"/>
    <x v="0"/>
  </r>
  <r>
    <x v="0"/>
    <x v="11"/>
    <n v="44559"/>
    <x v="8"/>
    <x v="1"/>
    <x v="22"/>
    <x v="1"/>
    <x v="353"/>
    <s v="Gia vị CJ Tokgalbi_Mix 2"/>
    <s v="Kg"/>
    <n v="14.391"/>
    <m/>
    <d v="1899-12-31T00:00:00"/>
    <n v="44315"/>
    <s v="Foseca factory closed"/>
    <n v="514903.499991738"/>
    <x v="0"/>
    <n v="14.391"/>
    <n v="514903.499991738"/>
    <x v="2"/>
    <x v="0"/>
  </r>
  <r>
    <x v="0"/>
    <x v="11"/>
    <n v="44559"/>
    <x v="8"/>
    <x v="1"/>
    <x v="22"/>
    <x v="1"/>
    <x v="354"/>
    <s v="Gia vị CJ Tokgalbi_Mix 3"/>
    <s v="Kg"/>
    <n v="4.18"/>
    <m/>
    <d v="1899-12-31T00:00:00"/>
    <n v="44315"/>
    <s v="Foseca factory closed"/>
    <n v="452770.13452000002"/>
    <x v="0"/>
    <n v="4.18"/>
    <n v="452770.13452000002"/>
    <x v="2"/>
    <x v="0"/>
  </r>
  <r>
    <x v="0"/>
    <x v="11"/>
    <n v="44559"/>
    <x v="8"/>
    <x v="1"/>
    <x v="22"/>
    <x v="1"/>
    <x v="355"/>
    <s v="Gia vị CJ Tokgalbi_Mix 4"/>
    <s v="Kg"/>
    <n v="0.81"/>
    <m/>
    <d v="1899-12-31T00:00:00"/>
    <n v="44315"/>
    <s v="Foseca factory closed"/>
    <n v="57315.500370000002"/>
    <x v="0"/>
    <n v="0.81"/>
    <n v="57315.500370000002"/>
    <x v="2"/>
    <x v="0"/>
  </r>
  <r>
    <x v="0"/>
    <x v="11"/>
    <n v="44559"/>
    <x v="8"/>
    <x v="1"/>
    <x v="22"/>
    <x v="1"/>
    <x v="356"/>
    <s v="Gia vị CJ Tokgalbi_Mix 5"/>
    <s v="Kg"/>
    <n v="1.0900000000000001"/>
    <m/>
    <d v="1899-12-31T00:00:00"/>
    <n v="44315"/>
    <s v="Foseca factory closed"/>
    <n v="23285.558819999998"/>
    <x v="0"/>
    <n v="1.0900000000000001"/>
    <n v="23285.558819999998"/>
    <x v="2"/>
    <x v="0"/>
  </r>
  <r>
    <x v="0"/>
    <x v="11"/>
    <n v="44559"/>
    <x v="8"/>
    <x v="1"/>
    <x v="22"/>
    <x v="1"/>
    <x v="357"/>
    <s v="Gia vị CJ Tokgalbi_Mix 6"/>
    <s v="Kg"/>
    <n v="1.62"/>
    <m/>
    <d v="1899-12-31T00:00:00"/>
    <n v="44315"/>
    <s v="Foseca factory closed"/>
    <n v="228833.29440000001"/>
    <x v="0"/>
    <n v="1.62"/>
    <n v="228833.29440000001"/>
    <x v="2"/>
    <x v="0"/>
  </r>
  <r>
    <x v="0"/>
    <x v="11"/>
    <n v="44559"/>
    <x v="8"/>
    <x v="1"/>
    <x v="22"/>
    <x v="1"/>
    <x v="358"/>
    <s v="Gia vị CJ Nugget_Mix 1"/>
    <s v="Kg"/>
    <n v="44.4"/>
    <m/>
    <d v="1899-12-31T00:00:00"/>
    <n v="44315"/>
    <s v="Foseca factory closed"/>
    <n v="4105857.0107999998"/>
    <x v="0"/>
    <n v="44.4"/>
    <n v="4105857.0107999998"/>
    <x v="2"/>
    <x v="0"/>
  </r>
  <r>
    <x v="0"/>
    <x v="11"/>
    <n v="44559"/>
    <x v="8"/>
    <x v="1"/>
    <x v="22"/>
    <x v="1"/>
    <x v="359"/>
    <s v="Gia vị CJ Nugget_Mix 2"/>
    <s v="Kg"/>
    <n v="80.64"/>
    <m/>
    <d v="1899-12-31T00:00:00"/>
    <n v="44315"/>
    <s v="Foseca factory closed"/>
    <n v="2121226.0070399996"/>
    <x v="0"/>
    <n v="80.64"/>
    <n v="2121226.0070399996"/>
    <x v="2"/>
    <x v="0"/>
  </r>
  <r>
    <x v="0"/>
    <x v="11"/>
    <n v="44559"/>
    <x v="8"/>
    <x v="1"/>
    <x v="22"/>
    <x v="1"/>
    <x v="360"/>
    <s v="Gia vị CJ Nugget_Mix 3"/>
    <s v="Kg"/>
    <n v="10.8"/>
    <m/>
    <d v="1899-12-31T00:00:00"/>
    <n v="44315"/>
    <s v="Foseca factory closed"/>
    <n v="928886.4"/>
    <x v="0"/>
    <n v="10.8"/>
    <n v="928886.4"/>
    <x v="2"/>
    <x v="0"/>
  </r>
  <r>
    <x v="0"/>
    <x v="11"/>
    <n v="44559"/>
    <x v="8"/>
    <x v="1"/>
    <x v="22"/>
    <x v="1"/>
    <x v="361"/>
    <s v="Gia vị CJ Nugget_Mix 4"/>
    <s v="Kg"/>
    <n v="3.6"/>
    <m/>
    <d v="1899-12-31T00:00:00"/>
    <n v="44315"/>
    <s v="Foseca factory closed"/>
    <n v="566553.59999999998"/>
    <x v="0"/>
    <n v="3.6"/>
    <n v="566553.59999999998"/>
    <x v="2"/>
    <x v="0"/>
  </r>
  <r>
    <x v="0"/>
    <x v="11"/>
    <n v="44559"/>
    <x v="8"/>
    <x v="1"/>
    <x v="22"/>
    <x v="1"/>
    <x v="362"/>
    <s v="Gia vị CJ - Nem Real Kiểu Hà Nội Nhân Thịt 360G - Mix 1"/>
    <s v="Kg"/>
    <n v="28.43"/>
    <m/>
    <d v="1899-12-31T00:00:00"/>
    <n v="44315"/>
    <s v="Foseca factory closed"/>
    <n v="1401751.6406700001"/>
    <x v="0"/>
    <n v="28.43"/>
    <n v="1401751.6406700001"/>
    <x v="2"/>
    <x v="0"/>
  </r>
  <r>
    <x v="0"/>
    <x v="11"/>
    <n v="44559"/>
    <x v="8"/>
    <x v="1"/>
    <x v="22"/>
    <x v="1"/>
    <x v="363"/>
    <s v="Gia vị CJ - Cháo Tươi Gà Bát Bửu 250g Gia vị Mix 1"/>
    <s v="Kg"/>
    <n v="24.5"/>
    <m/>
    <d v="1899-12-31T00:00:00"/>
    <n v="44315"/>
    <s v="Foseca factory closed"/>
    <n v="2735125.2915000003"/>
    <x v="0"/>
    <n v="24.5"/>
    <n v="2735125.2915000003"/>
    <x v="2"/>
    <x v="0"/>
  </r>
  <r>
    <x v="0"/>
    <x v="11"/>
    <n v="44559"/>
    <x v="8"/>
    <x v="1"/>
    <x v="22"/>
    <x v="1"/>
    <x v="364"/>
    <s v="Gia vị CJ - Cháo Tươi Gà Bát Bửu 250g Gia vị 1"/>
    <s v="Kg"/>
    <n v="41.2"/>
    <m/>
    <d v="1899-12-31T00:00:00"/>
    <n v="44315"/>
    <s v="Foseca factory closed"/>
    <n v="10536290.240000002"/>
    <x v="0"/>
    <n v="41.2"/>
    <n v="10536290.240000002"/>
    <x v="2"/>
    <x v="0"/>
  </r>
  <r>
    <x v="0"/>
    <x v="11"/>
    <n v="44559"/>
    <x v="8"/>
    <x v="1"/>
    <x v="22"/>
    <x v="1"/>
    <x v="365"/>
    <s v="Gia vị CJ - Cháo Tươi Gà Bát Bửu 250g Gia vị 2"/>
    <s v="Kg"/>
    <n v="25"/>
    <m/>
    <d v="1899-12-31T00:00:00"/>
    <n v="44315"/>
    <s v="Foseca factory closed"/>
    <n v="9637500"/>
    <x v="0"/>
    <n v="25"/>
    <n v="9637500"/>
    <x v="2"/>
    <x v="0"/>
  </r>
  <r>
    <x v="0"/>
    <x v="11"/>
    <n v="44559"/>
    <x v="8"/>
    <x v="1"/>
    <x v="22"/>
    <x v="1"/>
    <x v="366"/>
    <s v="Gia vị CJ - Cháo Tươi Gà Bát Bửu 250g Gia vị 3"/>
    <s v="Kg"/>
    <n v="43"/>
    <m/>
    <d v="1899-12-31T00:00:00"/>
    <n v="44315"/>
    <s v="Foseca factory closed"/>
    <n v="13987908.6"/>
    <x v="0"/>
    <n v="43"/>
    <n v="13987908.6"/>
    <x v="2"/>
    <x v="0"/>
  </r>
  <r>
    <x v="0"/>
    <x v="11"/>
    <n v="44559"/>
    <x v="8"/>
    <x v="1"/>
    <x v="22"/>
    <x v="1"/>
    <x v="367"/>
    <s v="Gia vị CJ - Cháo Tươi Gà Bát Bửu 250g Gia vị 4"/>
    <s v="Kg"/>
    <n v="24"/>
    <m/>
    <d v="1899-12-31T00:00:00"/>
    <n v="44315"/>
    <s v="Foseca factory closed"/>
    <n v="16332000"/>
    <x v="0"/>
    <n v="24"/>
    <n v="16332000"/>
    <x v="2"/>
    <x v="0"/>
  </r>
  <r>
    <x v="0"/>
    <x v="11"/>
    <n v="44559"/>
    <x v="8"/>
    <x v="1"/>
    <x v="22"/>
    <x v="1"/>
    <x v="368"/>
    <s v="Sorbitol nước"/>
    <s v="Kg"/>
    <n v="108"/>
    <m/>
    <d v="1899-12-31T00:00:00"/>
    <m/>
    <s v="Foseca factory closed"/>
    <n v="2307311.8322981363"/>
    <x v="0"/>
    <n v="108"/>
    <n v="2307311.8322981363"/>
    <x v="2"/>
    <x v="0"/>
  </r>
  <r>
    <x v="0"/>
    <x v="11"/>
    <n v="44558"/>
    <x v="8"/>
    <x v="1"/>
    <x v="22"/>
    <x v="1"/>
    <x v="239"/>
    <s v="Gia vị mật ong và bắp for SNACK SEAWEED 25g"/>
    <s v="Kg"/>
    <n v="28.8"/>
    <m/>
    <d v="1899-12-31T00:00:00"/>
    <n v="44574"/>
    <s v="damage"/>
    <n v="11878315.714285716"/>
    <x v="0"/>
    <n v="28.8"/>
    <n v="11878315.714285716"/>
    <x v="2"/>
    <x v="0"/>
  </r>
  <r>
    <x v="0"/>
    <x v="11"/>
    <n v="44558"/>
    <x v="8"/>
    <x v="1"/>
    <x v="22"/>
    <x v="1"/>
    <x v="369"/>
    <s v="Liquid Carmine"/>
    <s v="Kg"/>
    <n v="5"/>
    <m/>
    <d v="1899-12-31T00:00:00"/>
    <n v="44525"/>
    <s v="damage"/>
    <n v="2277500"/>
    <x v="0"/>
    <n v="5"/>
    <n v="2277500"/>
    <x v="2"/>
    <x v="0"/>
  </r>
  <r>
    <x v="0"/>
    <x v="11"/>
    <n v="44533"/>
    <x v="8"/>
    <x v="1"/>
    <x v="22"/>
    <x v="5"/>
    <x v="370"/>
    <s v="Gia vị CJ Cá Viên_Mix 1"/>
    <s v="Kg"/>
    <n v="116.58"/>
    <m/>
    <d v="1899-12-31T00:00:00"/>
    <n v="44403"/>
    <s v="Spice mix have self life 7 days after weighing , due to Covid situation then They stopped production for us we must do write off ."/>
    <n v="6784364.1308318935"/>
    <x v="0"/>
    <n v="116.58"/>
    <n v="6784364.1308318935"/>
    <x v="2"/>
    <x v="1"/>
  </r>
  <r>
    <x v="0"/>
    <x v="11"/>
    <n v="44533"/>
    <x v="8"/>
    <x v="1"/>
    <x v="22"/>
    <x v="5"/>
    <x v="371"/>
    <s v="Gia vị CJ Cá Viên_Mix 2"/>
    <s v="Kg"/>
    <n v="229.14099999999999"/>
    <m/>
    <d v="1899-12-31T00:00:00"/>
    <n v="44403"/>
    <s v="Spice mix have self life 7 days after weighing , due to Covid situation then They stopped production for us we must do write off ."/>
    <n v="10280404.394213056"/>
    <x v="0"/>
    <n v="229.14099999999999"/>
    <n v="10280404.394213056"/>
    <x v="2"/>
    <x v="1"/>
  </r>
  <r>
    <x v="0"/>
    <x v="11"/>
    <n v="44533"/>
    <x v="8"/>
    <x v="1"/>
    <x v="22"/>
    <x v="5"/>
    <x v="372"/>
    <s v="Gia vị CJ Cá Viên_Mix 3"/>
    <s v="Kg"/>
    <n v="522.6"/>
    <m/>
    <d v="1899-12-31T00:00:00"/>
    <n v="44403"/>
    <s v="Spice mix have self life 7 days after weighing , due to Covid situation then They stopped production for us we must do write off ."/>
    <n v="15707843.714285716"/>
    <x v="0"/>
    <n v="522.6"/>
    <n v="15707843.714285716"/>
    <x v="2"/>
    <x v="1"/>
  </r>
  <r>
    <x v="0"/>
    <x v="11"/>
    <n v="44533"/>
    <x v="8"/>
    <x v="1"/>
    <x v="22"/>
    <x v="6"/>
    <x v="373"/>
    <s v="Hỗn hợp bột CJ - Da mini Há cảo"/>
    <s v="Kg"/>
    <n v="378"/>
    <m/>
    <d v="1899-12-31T00:00:00"/>
    <n v="44386"/>
    <s v="Spice mix have self life 7 days after weighing , due to Covid situation then They stopped production for us we must do write off ."/>
    <n v="15800768"/>
    <x v="0"/>
    <n v="378"/>
    <n v="15800768"/>
    <x v="2"/>
    <x v="1"/>
  </r>
  <r>
    <x v="0"/>
    <x v="11"/>
    <n v="44533"/>
    <x v="8"/>
    <x v="1"/>
    <x v="22"/>
    <x v="6"/>
    <x v="374"/>
    <s v="Hỗn hợp bột áo CJ - Da mini Há cảo"/>
    <s v="Kg"/>
    <n v="123.982"/>
    <m/>
    <d v="1899-12-31T00:00:00"/>
    <n v="44386"/>
    <s v="Spice mix have self life 7 days after weighing , due to Covid situation then They stopped production for us we must do write off ."/>
    <n v="5233986"/>
    <x v="0"/>
    <n v="123.982"/>
    <n v="5233986"/>
    <x v="2"/>
    <x v="1"/>
  </r>
  <r>
    <x v="0"/>
    <x v="11"/>
    <n v="44533"/>
    <x v="8"/>
    <x v="1"/>
    <x v="22"/>
    <x v="6"/>
    <x v="375"/>
    <s v="Gia vị CJ - Da mini Há cảo - Mix 1"/>
    <s v="Kg"/>
    <n v="9.4499999999999993"/>
    <m/>
    <d v="1899-12-31T00:00:00"/>
    <n v="44386"/>
    <s v="Spice mix have self life 7 days after weighing , due to Covid situation then They stopped production for us we must do write off ."/>
    <n v="98604"/>
    <x v="0"/>
    <n v="9.4499999999999993"/>
    <n v="98604"/>
    <x v="2"/>
    <x v="1"/>
  </r>
  <r>
    <x v="0"/>
    <x v="11"/>
    <n v="44533"/>
    <x v="8"/>
    <x v="1"/>
    <x v="22"/>
    <x v="6"/>
    <x v="376"/>
    <s v="Gia vị CJ - Nhân mini Há cảo - Mix 3"/>
    <s v="Kg"/>
    <n v="28.6"/>
    <m/>
    <d v="1899-12-31T00:00:00"/>
    <n v="44386"/>
    <s v="Spice mix have self life 7 days after weighing , due to Covid situation then They stopped production for us we must do write off ."/>
    <n v="581935"/>
    <x v="0"/>
    <n v="28.6"/>
    <n v="581935"/>
    <x v="2"/>
    <x v="1"/>
  </r>
  <r>
    <x v="0"/>
    <x v="11"/>
    <n v="44533"/>
    <x v="8"/>
    <x v="1"/>
    <x v="22"/>
    <x v="6"/>
    <x v="377"/>
    <s v="Gia vị CJ - Chả cá mini Há cảo - Mix 5"/>
    <s v="Kg"/>
    <n v="0.24"/>
    <m/>
    <d v="1899-12-31T00:00:00"/>
    <n v="44386"/>
    <s v="Spice mix have self life 7 days after weighing , due to Covid situation then They stopped production for us we must do write off ."/>
    <n v="49944"/>
    <x v="0"/>
    <n v="0.24"/>
    <n v="49944"/>
    <x v="2"/>
    <x v="1"/>
  </r>
  <r>
    <x v="0"/>
    <x v="11"/>
    <n v="44533"/>
    <x v="8"/>
    <x v="1"/>
    <x v="22"/>
    <x v="6"/>
    <x v="378"/>
    <s v="Gia vị CJ - Nhân mini Há cảo - Mix 2"/>
    <s v="Kg"/>
    <n v="29.821999999999999"/>
    <m/>
    <d v="1899-12-31T00:00:00"/>
    <n v="44386"/>
    <s v="Spice mix have self life 7 days after weighing , due to Covid situation then They stopped production for us we must do write off ."/>
    <n v="1798179"/>
    <x v="0"/>
    <n v="29.821999999999999"/>
    <n v="1798179"/>
    <x v="2"/>
    <x v="1"/>
  </r>
  <r>
    <x v="0"/>
    <x v="11"/>
    <n v="44533"/>
    <x v="8"/>
    <x v="1"/>
    <x v="22"/>
    <x v="6"/>
    <x v="379"/>
    <s v="Gia vị CJ - Chả cá mini Há cảo - Mix 4"/>
    <s v="Kg"/>
    <n v="4.8620000000000001"/>
    <m/>
    <d v="1899-12-31T00:00:00"/>
    <n v="44386"/>
    <s v="Spice mix have self life 7 days after weighing , due to Covid situation then They stopped production for us we must do write off ."/>
    <n v="121291"/>
    <x v="0"/>
    <n v="4.8620000000000001"/>
    <n v="121291"/>
    <x v="2"/>
    <x v="1"/>
  </r>
  <r>
    <x v="0"/>
    <x v="11"/>
    <n v="44533"/>
    <x v="8"/>
    <x v="1"/>
    <x v="22"/>
    <x v="6"/>
    <x v="380"/>
    <s v="Gia vị CJ - Chả cá mini Há cảo - Mix 6"/>
    <s v="Kg"/>
    <n v="6.6559999999999997"/>
    <m/>
    <d v="1899-12-31T00:00:00"/>
    <n v="44386"/>
    <s v="Spice mix have self life 7 days after weighing , due to Covid situation then They stopped production for us we must do write off ."/>
    <n v="163324"/>
    <x v="0"/>
    <n v="6.6559999999999997"/>
    <n v="163324"/>
    <x v="2"/>
    <x v="1"/>
  </r>
  <r>
    <x v="0"/>
    <x v="11"/>
    <n v="44533"/>
    <x v="8"/>
    <x v="1"/>
    <x v="22"/>
    <x v="7"/>
    <x v="358"/>
    <s v="Gia vị CJ Nugget_Mix 1"/>
    <s v="Kg"/>
    <n v="10"/>
    <m/>
    <d v="1899-12-31T00:00:00"/>
    <n v="44396"/>
    <s v="Spice mix have self life 7 days after weighing , due to Covid situation then They stopped production for us we must do write off ."/>
    <n v="1005145"/>
    <x v="0"/>
    <n v="0"/>
    <n v="0"/>
    <x v="2"/>
    <x v="1"/>
  </r>
  <r>
    <x v="0"/>
    <x v="11"/>
    <n v="44533"/>
    <x v="8"/>
    <x v="1"/>
    <x v="22"/>
    <x v="7"/>
    <x v="359"/>
    <s v="Gia vị CJ Nugget_Mix 2"/>
    <s v="Kg"/>
    <n v="20"/>
    <m/>
    <d v="1899-12-31T00:00:00"/>
    <n v="44396"/>
    <s v="Spice mix have self life 7 days after weighing , due to Covid situation then They stopped production for us we must do write off ."/>
    <n v="537818"/>
    <x v="0"/>
    <n v="0"/>
    <n v="0"/>
    <x v="2"/>
    <x v="1"/>
  </r>
  <r>
    <x v="0"/>
    <x v="11"/>
    <n v="44533"/>
    <x v="8"/>
    <x v="1"/>
    <x v="22"/>
    <x v="7"/>
    <x v="360"/>
    <s v="Gia vị CJ Nugget_Mix 3"/>
    <s v="Kg"/>
    <n v="2.7"/>
    <m/>
    <d v="1899-12-31T00:00:00"/>
    <n v="44396"/>
    <s v="Spice mix have self life 7 days after weighing , due to Covid situation then They stopped production for us we must do write off ."/>
    <n v="225688"/>
    <x v="0"/>
    <n v="0"/>
    <n v="0"/>
    <x v="2"/>
    <x v="1"/>
  </r>
  <r>
    <x v="0"/>
    <x v="11"/>
    <n v="44533"/>
    <x v="8"/>
    <x v="1"/>
    <x v="22"/>
    <x v="7"/>
    <x v="361"/>
    <s v="Gia vị CJ Nugget_Mix 4"/>
    <s v="Kg"/>
    <n v="0.9"/>
    <m/>
    <d v="1899-12-31T00:00:00"/>
    <n v="44396"/>
    <s v="Spice mix have self life 7 days after weighing , due to Covid situation then They stopped production for us we must do write off ."/>
    <n v="125038"/>
    <x v="0"/>
    <n v="0"/>
    <n v="0"/>
    <x v="2"/>
    <x v="1"/>
  </r>
  <r>
    <x v="0"/>
    <x v="11"/>
    <n v="44533"/>
    <x v="8"/>
    <x v="1"/>
    <x v="22"/>
    <x v="7"/>
    <x v="150"/>
    <s v="Bột trộn sẵn Breader 10 Kg"/>
    <s v="Kg"/>
    <n v="30"/>
    <m/>
    <d v="1899-12-31T00:00:00"/>
    <n v="44487"/>
    <s v="We didn't have plan however we can't use for another products ."/>
    <n v="1200000"/>
    <x v="0"/>
    <n v="30"/>
    <n v="1200000"/>
    <x v="2"/>
    <x v="1"/>
  </r>
  <r>
    <x v="0"/>
    <x v="11"/>
    <n v="44533"/>
    <x v="8"/>
    <x v="1"/>
    <x v="22"/>
    <x v="7"/>
    <x v="213"/>
    <s v="Bột chiên Gà Nugget 10 Kg"/>
    <s v="Kg"/>
    <n v="201"/>
    <m/>
    <d v="1899-12-31T00:00:00"/>
    <n v="44487"/>
    <s v="We didn't have plan however we can't use for another products ."/>
    <n v="7437000"/>
    <x v="0"/>
    <n v="46"/>
    <n v="1702000"/>
    <x v="2"/>
    <x v="1"/>
  </r>
  <r>
    <x v="0"/>
    <x v="11"/>
    <n v="44560"/>
    <x v="8"/>
    <x v="1"/>
    <x v="22"/>
    <x v="1"/>
    <x v="344"/>
    <s v="LI Seasoning"/>
    <s v="Kg"/>
    <n v="13.3"/>
    <m/>
    <d v="1899-12-31T00:00:00"/>
    <n v="44476"/>
    <s v="Expired"/>
    <n v="2830893.2104788381"/>
    <x v="0"/>
    <n v="13.3"/>
    <n v="2830893.2104788381"/>
    <x v="2"/>
    <x v="0"/>
  </r>
  <r>
    <x v="0"/>
    <x v="11"/>
    <n v="44560"/>
    <x v="8"/>
    <x v="1"/>
    <x v="22"/>
    <x v="1"/>
    <x v="381"/>
    <s v="Hương phô mai – S2002421"/>
    <s v="Kg"/>
    <n v="15.09"/>
    <m/>
    <d v="1899-12-31T00:00:00"/>
    <n v="44511"/>
    <s v="Expired"/>
    <n v="7477095"/>
    <x v="0"/>
    <n v="15.09"/>
    <n v="7477095"/>
    <x v="2"/>
    <x v="0"/>
  </r>
  <r>
    <x v="0"/>
    <x v="11"/>
    <n v="44561"/>
    <x v="8"/>
    <x v="1"/>
    <x v="22"/>
    <x v="3"/>
    <x v="382"/>
    <s v="Hỗn hợp sốt gia vị BBQ Bulgogi Paste"/>
    <s v="Kg"/>
    <n v="800"/>
    <m/>
    <d v="1899-12-31T00:00:00"/>
    <n v="44311"/>
    <m/>
    <n v="124721600"/>
    <x v="0"/>
    <n v="800"/>
    <n v="124721600"/>
    <x v="2"/>
    <x v="0"/>
  </r>
  <r>
    <x v="0"/>
    <x v="11"/>
    <n v="44561"/>
    <x v="8"/>
    <x v="1"/>
    <x v="22"/>
    <x v="3"/>
    <x v="383"/>
    <s v="Hỗn hợp sốt gia vị truyền thống Seasoning paste-O"/>
    <s v="Kg"/>
    <n v="800"/>
    <m/>
    <d v="1899-12-31T00:00:00"/>
    <n v="44311"/>
    <m/>
    <n v="120018400"/>
    <x v="0"/>
    <n v="800"/>
    <n v="120018400"/>
    <x v="2"/>
    <x v="0"/>
  </r>
  <r>
    <x v="0"/>
    <x v="11"/>
    <n v="44561"/>
    <x v="0"/>
    <x v="0"/>
    <x v="18"/>
    <x v="0"/>
    <x v="168"/>
    <s v="Bánh Mandu Thịt CJ Bibigo - Gói 175g"/>
    <s v="Gói"/>
    <n v="1"/>
    <n v="0.17499999999999999"/>
    <d v="1899-12-30T04:12:00"/>
    <n v="44794"/>
    <s v="Lỗi rách- Phát hiện trong kho"/>
    <n v="13462.500700000001"/>
    <x v="0"/>
    <n v="1"/>
    <n v="13462.500700000001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n v="44726"/>
    <s v="Lỗi rách- Phát hiện trong kho"/>
    <n v="27424.990600000001"/>
    <x v="0"/>
    <n v="1"/>
    <n v="27424.990600000001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790"/>
    <s v="Lỗi bục- Giao hàng phát hiện"/>
    <n v="15162.510700000001"/>
    <x v="0"/>
    <n v="1"/>
    <n v="15162.510700000001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n v="44790"/>
    <s v="Lỗi bục- Giao hàng phát hiện"/>
    <n v="27424.990600000001"/>
    <x v="0"/>
    <n v="1"/>
    <n v="27424.990600000001"/>
    <x v="2"/>
    <x v="0"/>
  </r>
  <r>
    <x v="0"/>
    <x v="11"/>
    <n v="44561"/>
    <x v="0"/>
    <x v="0"/>
    <x v="18"/>
    <x v="0"/>
    <x v="168"/>
    <s v="Bánh Mandu Thịt CJ Bibigo - Gói 175g"/>
    <s v="Gói"/>
    <n v="1"/>
    <n v="0.17499999999999999"/>
    <d v="1899-12-30T04:12:00"/>
    <n v="44810"/>
    <s v="Lỗi bục- Giao hàng phát hiện"/>
    <n v="13462.500700000001"/>
    <x v="0"/>
    <n v="1"/>
    <n v="13462.500700000001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m/>
    <s v="Lỗi mờ date- Giao hàng phát hiện"/>
    <n v="51400.041100000002"/>
    <x v="0"/>
    <n v="1"/>
    <n v="51400.041100000002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n v="44558"/>
    <s v="Lỗi bục- Giao hàng phát hiện"/>
    <n v="51400.041100000002"/>
    <x v="0"/>
    <n v="1"/>
    <n v="51400.041100000002"/>
    <x v="2"/>
    <x v="0"/>
  </r>
  <r>
    <x v="0"/>
    <x v="11"/>
    <n v="44561"/>
    <x v="3"/>
    <x v="0"/>
    <x v="0"/>
    <x v="0"/>
    <x v="68"/>
    <s v="Bibigo Kimchi cải thảo - ngò 500gr"/>
    <s v="Hộp"/>
    <n v="8"/>
    <n v="4"/>
    <d v="1899-12-30T12:00:00"/>
    <n v="44560"/>
    <s v="Lỗi vỡ nắp- Giao hàng phát hiện"/>
    <n v="222000.72320000001"/>
    <x v="0"/>
    <n v="8"/>
    <n v="222000.72320000001"/>
    <x v="2"/>
    <x v="0"/>
  </r>
  <r>
    <x v="0"/>
    <x v="11"/>
    <n v="44561"/>
    <x v="3"/>
    <x v="0"/>
    <x v="0"/>
    <x v="0"/>
    <x v="68"/>
    <s v="Bibigo Kimchi cải thảo - ngò 500gr"/>
    <s v="Hộp"/>
    <n v="3"/>
    <n v="1.5"/>
    <d v="1899-12-30T12:00:00"/>
    <n v="44560"/>
    <s v="Lỗi vỡ- Giao hàng phát hiện"/>
    <n v="83250.271200000003"/>
    <x v="0"/>
    <n v="3"/>
    <n v="83250.271200000003"/>
    <x v="2"/>
    <x v="0"/>
  </r>
  <r>
    <x v="0"/>
    <x v="11"/>
    <n v="44561"/>
    <x v="3"/>
    <x v="0"/>
    <x v="0"/>
    <x v="0"/>
    <x v="68"/>
    <s v="Bibigo Kimchi cải thảo - ngò 500gr"/>
    <s v="Hộp"/>
    <n v="6"/>
    <n v="3"/>
    <d v="1899-12-30T12:00:00"/>
    <n v="44560"/>
    <s v="Lỗi vỡ- Giao hàng phát hiện"/>
    <n v="166500.54240000001"/>
    <x v="0"/>
    <n v="6"/>
    <n v="166500.54240000001"/>
    <x v="2"/>
    <x v="0"/>
  </r>
  <r>
    <x v="0"/>
    <x v="11"/>
    <n v="44561"/>
    <x v="3"/>
    <x v="0"/>
    <x v="0"/>
    <x v="0"/>
    <x v="68"/>
    <s v="Bibigo Kimchi cải thảo - ngò 500gr"/>
    <s v="Hộp"/>
    <n v="2"/>
    <n v="1"/>
    <d v="1899-12-30T12:00:00"/>
    <n v="44560"/>
    <s v="Lỗi vỡ- Giao hàng phát hiện"/>
    <n v="55500.180800000002"/>
    <x v="0"/>
    <n v="2"/>
    <n v="55500.180800000002"/>
    <x v="2"/>
    <x v="0"/>
  </r>
  <r>
    <x v="0"/>
    <x v="11"/>
    <n v="44561"/>
    <x v="3"/>
    <x v="0"/>
    <x v="0"/>
    <x v="0"/>
    <x v="68"/>
    <s v="Bibigo Kimchi cải thảo - ngò 500gr"/>
    <s v="Hộp"/>
    <n v="1"/>
    <n v="0.5"/>
    <d v="1899-12-30T12:00:00"/>
    <n v="44560"/>
    <s v="Lỗi vỡ- Giao hàng phát hiện"/>
    <n v="27750.090400000001"/>
    <x v="0"/>
    <n v="1"/>
    <n v="27750.090400000001"/>
    <x v="2"/>
    <x v="0"/>
  </r>
  <r>
    <x v="0"/>
    <x v="11"/>
    <n v="44561"/>
    <x v="3"/>
    <x v="0"/>
    <x v="12"/>
    <x v="0"/>
    <x v="5"/>
    <s v="Bibigo Kimchi cải thảo cây 1kg"/>
    <s v="Túi"/>
    <n v="2"/>
    <n v="2"/>
    <d v="1899-12-31T00:00:00"/>
    <n v="44558"/>
    <s v="Lỗi bục- Giao hàng phát hiện"/>
    <n v="102800.0822"/>
    <x v="0"/>
    <n v="2"/>
    <n v="102800.0822"/>
    <x v="2"/>
    <x v="0"/>
  </r>
  <r>
    <x v="0"/>
    <x v="11"/>
    <n v="44561"/>
    <x v="3"/>
    <x v="0"/>
    <x v="12"/>
    <x v="0"/>
    <x v="41"/>
    <s v="Bibigo Kimchi cải thảo chay 500gr"/>
    <s v="Hộp"/>
    <n v="3"/>
    <n v="1.5"/>
    <d v="1899-12-30T12:00:00"/>
    <n v="44565"/>
    <s v="Lỗi vỡ- Phát hiện trong kho"/>
    <n v="78750.110400000005"/>
    <x v="0"/>
    <n v="3"/>
    <n v="78750.110400000005"/>
    <x v="2"/>
    <x v="0"/>
  </r>
  <r>
    <x v="0"/>
    <x v="11"/>
    <n v="44561"/>
    <x v="3"/>
    <x v="0"/>
    <x v="0"/>
    <x v="0"/>
    <x v="68"/>
    <s v="Bibigo Kimchi cải thảo - ngò 500gr"/>
    <s v="Hộp"/>
    <n v="2"/>
    <n v="1"/>
    <d v="1899-12-30T12:00:00"/>
    <n v="44562"/>
    <s v="Lỗi vỡ- Phát hiện trong kho"/>
    <n v="55500.180800000002"/>
    <x v="0"/>
    <n v="2"/>
    <n v="55500.180800000002"/>
    <x v="2"/>
    <x v="0"/>
  </r>
  <r>
    <x v="0"/>
    <x v="11"/>
    <n v="44561"/>
    <x v="3"/>
    <x v="0"/>
    <x v="12"/>
    <x v="0"/>
    <x v="30"/>
    <s v="Bibigo Kimchi cải thảo cắt lát 500gr"/>
    <s v="Hộp"/>
    <n v="1"/>
    <n v="0.5"/>
    <d v="1899-12-30T12:00:00"/>
    <n v="44562"/>
    <s v="Lỗi vỡ- Phát hiện trong kho"/>
    <n v="26150.012999999999"/>
    <x v="0"/>
    <n v="1"/>
    <n v="26150.012999999999"/>
    <x v="2"/>
    <x v="0"/>
  </r>
  <r>
    <x v="0"/>
    <x v="11"/>
    <n v="44561"/>
    <x v="3"/>
    <x v="0"/>
    <x v="12"/>
    <x v="0"/>
    <x v="30"/>
    <s v="Bibigo Kimchi cải thảo cắt lát 500gr"/>
    <s v="Hộp"/>
    <n v="2"/>
    <n v="1"/>
    <d v="1899-12-30T12:00:00"/>
    <n v="44565"/>
    <s v="Lỗi vỡ- Phát hiện trong kho"/>
    <n v="52300.025999999998"/>
    <x v="0"/>
    <n v="2"/>
    <n v="52300.025999999998"/>
    <x v="2"/>
    <x v="0"/>
  </r>
  <r>
    <x v="0"/>
    <x v="11"/>
    <n v="44561"/>
    <x v="3"/>
    <x v="0"/>
    <x v="12"/>
    <x v="0"/>
    <x v="85"/>
    <s v="Bibigo Kimchi cải thảo cắt lát 100gr"/>
    <s v="Túi"/>
    <n v="2"/>
    <n v="0.2"/>
    <d v="1899-12-30T02:24:00"/>
    <n v="44565"/>
    <s v="Lỗi rách- Phát hiện trong kho"/>
    <n v="14899.997600000001"/>
    <x v="0"/>
    <n v="2"/>
    <n v="14899.997600000001"/>
    <x v="2"/>
    <x v="0"/>
  </r>
  <r>
    <x v="0"/>
    <x v="11"/>
    <n v="44561"/>
    <x v="3"/>
    <x v="0"/>
    <x v="12"/>
    <x v="0"/>
    <x v="31"/>
    <s v="Bibigo Kimchi cải thảo - ngò 100gr"/>
    <s v="Túi"/>
    <n v="1"/>
    <n v="0.1"/>
    <d v="1899-12-30T02:24:00"/>
    <n v="44562"/>
    <s v="Lỗi rách- Phát hiện trong kho"/>
    <n v="7549.9624000000003"/>
    <x v="0"/>
    <n v="1"/>
    <n v="7549.9624000000003"/>
    <x v="2"/>
    <x v="0"/>
  </r>
  <r>
    <x v="0"/>
    <x v="11"/>
    <n v="44561"/>
    <x v="3"/>
    <x v="0"/>
    <x v="12"/>
    <x v="0"/>
    <x v="18"/>
    <s v="Kim chi cải thảo cắt lát Ông Kim's 300g"/>
    <s v="Hộp"/>
    <n v="1"/>
    <n v="0.3"/>
    <d v="1899-12-30T07:12:00"/>
    <n v="44558"/>
    <s v="Lỗi vỡ- Phát hiện trong kho"/>
    <n v="11450.000599999999"/>
    <x v="0"/>
    <n v="1"/>
    <n v="11450.000599999999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n v="44562"/>
    <s v="Lỗi bục mép- Phát hiện trong kho"/>
    <n v="51400.041100000002"/>
    <x v="0"/>
    <n v="1"/>
    <n v="51400.041100000002"/>
    <x v="2"/>
    <x v="0"/>
  </r>
  <r>
    <x v="0"/>
    <x v="11"/>
    <n v="44561"/>
    <x v="0"/>
    <x v="0"/>
    <x v="18"/>
    <x v="0"/>
    <x v="111"/>
    <s v="Bánh Mandu Thịt và Bắp CJ Bibigo – Gói 350g"/>
    <s v="Gói"/>
    <n v="1"/>
    <n v="0.35"/>
    <d v="1899-12-30T08:24:00"/>
    <n v="44812"/>
    <s v="Lỗi rách- Giao hàng phát hiện"/>
    <n v="28325.002499999999"/>
    <x v="0"/>
    <n v="1"/>
    <n v="28325.002499999999"/>
    <x v="2"/>
    <x v="0"/>
  </r>
  <r>
    <x v="0"/>
    <x v="11"/>
    <n v="44561"/>
    <x v="0"/>
    <x v="0"/>
    <x v="18"/>
    <x v="0"/>
    <x v="168"/>
    <s v="Bánh Mandu Thịt CJ Bibigo - Gói 175g"/>
    <s v="Gói"/>
    <n v="3"/>
    <n v="0.52499999999999991"/>
    <d v="1899-12-30T04:12:00"/>
    <n v="44810"/>
    <s v="Lỗi rách- Phát hiện trong kho"/>
    <n v="40387.502099999998"/>
    <x v="0"/>
    <n v="3"/>
    <n v="40387.502099999998"/>
    <x v="2"/>
    <x v="0"/>
  </r>
  <r>
    <x v="0"/>
    <x v="11"/>
    <n v="44561"/>
    <x v="1"/>
    <x v="0"/>
    <x v="26"/>
    <x v="0"/>
    <x v="334"/>
    <s v="CJ Cautre I’m Rice Cơm chiên Kimchi Khay 150g"/>
    <s v="Khay"/>
    <n v="2"/>
    <n v="0.3"/>
    <d v="1899-12-30T03:36:00"/>
    <n v="44835"/>
    <s v="Lỗi rách- Phát hiện trong kho"/>
    <n v="21850.002199999999"/>
    <x v="0"/>
    <n v="2"/>
    <n v="21850.002199999999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n v="44572"/>
    <s v="Lỗi rách- Phát hiện trong kho"/>
    <n v="51400.041100000002"/>
    <x v="0"/>
    <n v="1"/>
    <n v="51400.041100000002"/>
    <x v="2"/>
    <x v="0"/>
  </r>
  <r>
    <x v="0"/>
    <x v="11"/>
    <n v="44561"/>
    <x v="2"/>
    <x v="0"/>
    <x v="34"/>
    <x v="0"/>
    <x v="140"/>
    <s v="Thực Phẩm Bảo Vệ Sức Khỏe INNERB AQUA RICH DOUBLEUP (42G*20EA/CT)"/>
    <s v="Hộp"/>
    <n v="1"/>
    <n v="0.4"/>
    <d v="1899-12-30T09:36:00"/>
    <n v="44994"/>
    <s v="Hàng lỗi thu hồi từ NPP theo approval MD-202111-00000049 do lỗi chất lượng "/>
    <n v="207162.68460000001"/>
    <x v="0"/>
    <n v="1"/>
    <n v="207162.68460000001"/>
    <x v="2"/>
    <x v="0"/>
  </r>
  <r>
    <x v="0"/>
    <x v="11"/>
    <n v="44561"/>
    <x v="2"/>
    <x v="0"/>
    <x v="34"/>
    <x v="0"/>
    <x v="140"/>
    <s v="Thực Phẩm Bảo Vệ Sức Khỏe INNERB AQUA RICH DOUBLEUP (42G*20EA/CT)"/>
    <s v="Hộp"/>
    <n v="1"/>
    <n v="0.4"/>
    <d v="1899-12-30T09:36:00"/>
    <n v="45046"/>
    <s v="Hàng lỗi thu hồi từ NPP theo approval MD-202111-00000049 do lỗi chất lượng "/>
    <n v="207162.68460000001"/>
    <x v="0"/>
    <n v="1"/>
    <n v="207162.68460000001"/>
    <x v="2"/>
    <x v="0"/>
  </r>
  <r>
    <x v="0"/>
    <x v="11"/>
    <n v="44561"/>
    <x v="3"/>
    <x v="0"/>
    <x v="12"/>
    <x v="0"/>
    <x v="85"/>
    <s v="Bibigo Kimchi cải thảo cắt lát 100gr"/>
    <s v="Túi"/>
    <n v="1"/>
    <n v="0.1"/>
    <d v="1899-12-30T02:24:00"/>
    <n v="44569"/>
    <s v="Lỗi rách- Giao hàng phát hiện"/>
    <n v="7449.9988000000003"/>
    <x v="0"/>
    <n v="1"/>
    <n v="7449.9988000000003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846"/>
    <s v="Lỗi bục- Giao hàng phát hiện"/>
    <n v="15162.510700000001"/>
    <x v="0"/>
    <n v="1"/>
    <n v="15162.510700000001"/>
    <x v="2"/>
    <x v="0"/>
  </r>
  <r>
    <x v="0"/>
    <x v="11"/>
    <n v="44561"/>
    <x v="3"/>
    <x v="0"/>
    <x v="12"/>
    <x v="0"/>
    <x v="5"/>
    <s v="Bibigo Kimchi cải thảo cây 1kg"/>
    <s v="Túi"/>
    <n v="2"/>
    <n v="2"/>
    <d v="1899-12-31T00:00:00"/>
    <m/>
    <s v="Lỗi mờ date- Giao hàng phát hiện"/>
    <n v="102800.0822"/>
    <x v="0"/>
    <n v="2"/>
    <n v="102800.0822"/>
    <x v="2"/>
    <x v="0"/>
  </r>
  <r>
    <x v="0"/>
    <x v="11"/>
    <n v="44561"/>
    <x v="3"/>
    <x v="0"/>
    <x v="12"/>
    <x v="0"/>
    <x v="85"/>
    <s v="Bibigo Kimchi cải thảo cắt lát 100gr"/>
    <s v="Túi"/>
    <n v="1"/>
    <n v="0.1"/>
    <d v="1899-12-30T02:24:00"/>
    <n v="44573"/>
    <s v="Lỗi bục- Giao hàng phát hiện"/>
    <n v="7449.9988000000003"/>
    <x v="0"/>
    <n v="1"/>
    <n v="7449.9988000000003"/>
    <x v="2"/>
    <x v="0"/>
  </r>
  <r>
    <x v="0"/>
    <x v="11"/>
    <n v="44561"/>
    <x v="1"/>
    <x v="0"/>
    <x v="41"/>
    <x v="0"/>
    <x v="333"/>
    <s v="CJ Cautre I'm Rice Cơm chiên hải sản khay 150g"/>
    <s v="Khay"/>
    <n v="1"/>
    <n v="0.15"/>
    <d v="1899-12-30T03:36:00"/>
    <n v="44880"/>
    <s v="Lỗi bục- Giao hàng phát hiện"/>
    <n v="11425.065500000001"/>
    <x v="0"/>
    <n v="1"/>
    <n v="11425.065500000001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879"/>
    <s v="Lỗi bục- Giao hàng phát hiện"/>
    <n v="15162.510700000001"/>
    <x v="0"/>
    <n v="1"/>
    <n v="15162.510700000001"/>
    <x v="2"/>
    <x v="0"/>
  </r>
  <r>
    <x v="0"/>
    <x v="11"/>
    <n v="44561"/>
    <x v="3"/>
    <x v="0"/>
    <x v="12"/>
    <x v="0"/>
    <x v="42"/>
    <s v="Dưa cải Bibigo 200G"/>
    <s v="Gói"/>
    <n v="1"/>
    <n v="0.2"/>
    <d v="1899-12-30T04:48:00"/>
    <n v="44584"/>
    <s v="Lỗi bục- Giao hàng phát hiện"/>
    <n v="6600"/>
    <x v="0"/>
    <n v="1"/>
    <n v="6600"/>
    <x v="2"/>
    <x v="0"/>
  </r>
  <r>
    <x v="0"/>
    <x v="11"/>
    <n v="44561"/>
    <x v="3"/>
    <x v="0"/>
    <x v="12"/>
    <x v="0"/>
    <x v="30"/>
    <s v="Bibigo Kimchi cải thảo cắt lát 500gr"/>
    <s v="Hộp"/>
    <n v="1"/>
    <n v="0.5"/>
    <d v="1899-12-30T12:00:00"/>
    <n v="44579"/>
    <s v="Lỗi vỡ- Giao hàng phát hiện"/>
    <n v="26150.012999999999"/>
    <x v="0"/>
    <n v="1"/>
    <n v="26150.012999999999"/>
    <x v="2"/>
    <x v="0"/>
  </r>
  <r>
    <x v="0"/>
    <x v="11"/>
    <n v="44561"/>
    <x v="3"/>
    <x v="0"/>
    <x v="12"/>
    <x v="0"/>
    <x v="41"/>
    <s v="Bibigo Kimchi cải thảo chay 500gr"/>
    <s v="Hộp"/>
    <n v="7"/>
    <n v="3.5"/>
    <d v="1899-12-30T12:00:00"/>
    <n v="44579"/>
    <s v="Lỗi vỡ- Giao hàng phát hiện"/>
    <n v="183750.25760000001"/>
    <x v="0"/>
    <n v="7"/>
    <n v="183750.25760000001"/>
    <x v="2"/>
    <x v="0"/>
  </r>
  <r>
    <x v="0"/>
    <x v="11"/>
    <n v="44561"/>
    <x v="1"/>
    <x v="0"/>
    <x v="26"/>
    <x v="0"/>
    <x v="334"/>
    <s v="CJ Cautre I’m Rice Cơm chiên Kimchi Khay 150g"/>
    <s v="Khay"/>
    <n v="2"/>
    <n v="0.3"/>
    <d v="1899-12-30T03:36:00"/>
    <n v="44834"/>
    <s v="Lỗi vỡ- Giao hàng phát hiện"/>
    <n v="21850.002199999999"/>
    <x v="0"/>
    <n v="2"/>
    <n v="21850.002199999999"/>
    <x v="2"/>
    <x v="0"/>
  </r>
  <r>
    <x v="0"/>
    <x v="11"/>
    <n v="44561"/>
    <x v="1"/>
    <x v="0"/>
    <x v="41"/>
    <x v="0"/>
    <x v="333"/>
    <s v="CJ Cautre I'm Rice Cơm chiên hải sản khay 150g"/>
    <s v="Khay"/>
    <n v="1"/>
    <n v="0.15"/>
    <d v="1899-12-30T03:36:00"/>
    <n v="44884"/>
    <s v="Lỗi bục- Giao hàng phát hiện"/>
    <n v="11425.065500000001"/>
    <x v="0"/>
    <n v="1"/>
    <n v="11425.065500000001"/>
    <x v="2"/>
    <x v="0"/>
  </r>
  <r>
    <x v="0"/>
    <x v="11"/>
    <n v="44561"/>
    <x v="3"/>
    <x v="0"/>
    <x v="12"/>
    <x v="0"/>
    <x v="41"/>
    <s v="Bibigo Kimchi cải thảo chay 500gr"/>
    <s v="Hộp"/>
    <n v="1"/>
    <n v="0.5"/>
    <d v="1899-12-30T12:00:00"/>
    <n v="44579"/>
    <s v="Lỗi vỡ- Giao hàng phát hiện"/>
    <n v="26250.036800000002"/>
    <x v="0"/>
    <n v="1"/>
    <n v="26250.036800000002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n v="44811"/>
    <s v="Lỗi bục- Giao hàng phát hiện"/>
    <n v="27424.990600000001"/>
    <x v="0"/>
    <n v="1"/>
    <n v="27424.990600000001"/>
    <x v="2"/>
    <x v="0"/>
  </r>
  <r>
    <x v="0"/>
    <x v="11"/>
    <n v="44561"/>
    <x v="0"/>
    <x v="0"/>
    <x v="3"/>
    <x v="0"/>
    <x v="336"/>
    <s v="Há Cảo Hải Sản - Gói 500G"/>
    <s v="Gói"/>
    <n v="1"/>
    <n v="0.5"/>
    <d v="1899-12-30T12:00:00"/>
    <n v="44855"/>
    <s v="Lỗi bục- Phát hiện trong kho"/>
    <n v="40774.936500000003"/>
    <x v="0"/>
    <n v="1"/>
    <n v="40774.936500000003"/>
    <x v="2"/>
    <x v="0"/>
  </r>
  <r>
    <x v="0"/>
    <x v="11"/>
    <n v="44561"/>
    <x v="5"/>
    <x v="0"/>
    <x v="16"/>
    <x v="0"/>
    <x v="27"/>
    <s v="Bò viên ngon Cầu Tre 500gr"/>
    <s v="Gói"/>
    <n v="2"/>
    <n v="1"/>
    <d v="1899-12-30T12:00:00"/>
    <n v="44845"/>
    <s v="Lỗi bục- Phát hiện trong kho"/>
    <n v="85100.014999999999"/>
    <x v="0"/>
    <n v="2"/>
    <n v="85100.014999999999"/>
    <x v="2"/>
    <x v="0"/>
  </r>
  <r>
    <x v="0"/>
    <x v="11"/>
    <n v="44561"/>
    <x v="5"/>
    <x v="0"/>
    <x v="16"/>
    <x v="0"/>
    <x v="27"/>
    <s v="Bò viên ngon Cầu Tre 500gr"/>
    <s v="Gói"/>
    <n v="2"/>
    <n v="1"/>
    <d v="1899-12-30T12:00:00"/>
    <n v="44843"/>
    <s v="Lỗi bục- Phát hiện trong kho"/>
    <n v="85100.014999999999"/>
    <x v="0"/>
    <n v="2"/>
    <n v="85100.014999999999"/>
    <x v="2"/>
    <x v="0"/>
  </r>
  <r>
    <x v="0"/>
    <x v="11"/>
    <n v="44561"/>
    <x v="0"/>
    <x v="0"/>
    <x v="3"/>
    <x v="0"/>
    <x v="230"/>
    <s v="Há Cảo Thượng Hạng - Gói 300G"/>
    <s v="Gói"/>
    <n v="6"/>
    <n v="1.7999999999999998"/>
    <d v="1899-12-30T07:12:00"/>
    <n v="44850"/>
    <s v="Lỗi bục- Phát hiện trong kho"/>
    <n v="231463.51199999999"/>
    <x v="0"/>
    <n v="6"/>
    <n v="231463.51199999999"/>
    <x v="2"/>
    <x v="0"/>
  </r>
  <r>
    <x v="0"/>
    <x v="11"/>
    <n v="44561"/>
    <x v="0"/>
    <x v="0"/>
    <x v="3"/>
    <x v="0"/>
    <x v="230"/>
    <s v="Há Cảo Thượng Hạng - Gói 300G"/>
    <s v="Gói"/>
    <n v="1"/>
    <n v="0.3"/>
    <d v="1899-12-30T07:12:00"/>
    <n v="44808"/>
    <s v="Lỗi bục- Phát hiện trong kho"/>
    <n v="38577.252"/>
    <x v="0"/>
    <n v="1"/>
    <n v="38577.252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790"/>
    <s v="Lỗi bục- Phát hiện trong kho"/>
    <n v="15162.510700000001"/>
    <x v="0"/>
    <n v="1"/>
    <n v="15162.510700000001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813"/>
    <s v="Lỗi bục- Phát hiện trong kho"/>
    <n v="15162.510700000001"/>
    <x v="0"/>
    <n v="1"/>
    <n v="15162.510700000001"/>
    <x v="2"/>
    <x v="0"/>
  </r>
  <r>
    <x v="0"/>
    <x v="11"/>
    <n v="44561"/>
    <x v="0"/>
    <x v="0"/>
    <x v="18"/>
    <x v="0"/>
    <x v="168"/>
    <s v="Bánh Mandu Thịt CJ Bibigo - Gói 175g"/>
    <s v="Gói"/>
    <n v="1"/>
    <n v="0.17499999999999999"/>
    <d v="1899-12-30T04:12:00"/>
    <m/>
    <s v="Mờ date- Phát hiện trong kho"/>
    <n v="13462.500700000001"/>
    <x v="0"/>
    <n v="1"/>
    <n v="13462.500700000001"/>
    <x v="2"/>
    <x v="0"/>
  </r>
  <r>
    <x v="0"/>
    <x v="11"/>
    <n v="44561"/>
    <x v="1"/>
    <x v="0"/>
    <x v="26"/>
    <x v="0"/>
    <x v="334"/>
    <s v="CJ Cautre I’m Rice Cơm chiên Kimchi Khay 150g"/>
    <s v="Khay"/>
    <n v="3"/>
    <n v="0.45"/>
    <d v="1899-12-30T03:36:00"/>
    <n v="44834"/>
    <s v="Lỗi bục- Phát hiện trong kho"/>
    <n v="32775.003299999997"/>
    <x v="0"/>
    <n v="3"/>
    <n v="32775.003299999997"/>
    <x v="2"/>
    <x v="0"/>
  </r>
  <r>
    <x v="0"/>
    <x v="11"/>
    <n v="44561"/>
    <x v="0"/>
    <x v="0"/>
    <x v="3"/>
    <x v="0"/>
    <x v="265"/>
    <s v="Há Cảo - Gói 500G"/>
    <s v="Gói"/>
    <n v="3"/>
    <n v="1.5"/>
    <d v="1899-12-30T12:00:00"/>
    <n v="44834"/>
    <s v="Lỗi bục- Phát hiện trong kho"/>
    <n v="84459.8073"/>
    <x v="0"/>
    <n v="3"/>
    <n v="84459.8073"/>
    <x v="2"/>
    <x v="0"/>
  </r>
  <r>
    <x v="0"/>
    <x v="11"/>
    <n v="44561"/>
    <x v="5"/>
    <x v="0"/>
    <x v="38"/>
    <x v="0"/>
    <x v="217"/>
    <s v="Bò viên Cầu Tre - Gói 200G"/>
    <s v="Gói"/>
    <n v="1"/>
    <n v="0.2"/>
    <d v="1899-12-30T04:48:00"/>
    <n v="44834"/>
    <s v="Lỗi bục- Phát hiện trong kho"/>
    <n v="20200"/>
    <x v="0"/>
    <n v="1"/>
    <n v="20200"/>
    <x v="2"/>
    <x v="0"/>
  </r>
  <r>
    <x v="0"/>
    <x v="11"/>
    <n v="44561"/>
    <x v="0"/>
    <x v="0"/>
    <x v="3"/>
    <x v="0"/>
    <x v="125"/>
    <s v="Há Cảo CTE Mini - Gói 500g"/>
    <s v="Gói"/>
    <n v="2"/>
    <n v="1"/>
    <d v="1899-12-30T12:00:00"/>
    <n v="44860"/>
    <s v="Lỗi bục- Phát hiện trong kho"/>
    <n v="74100"/>
    <x v="0"/>
    <n v="2"/>
    <n v="74100"/>
    <x v="2"/>
    <x v="0"/>
  </r>
  <r>
    <x v="0"/>
    <x v="11"/>
    <n v="44561"/>
    <x v="0"/>
    <x v="0"/>
    <x v="3"/>
    <x v="0"/>
    <x v="167"/>
    <s v="Xíu Mại CTE Gói 500G"/>
    <s v="Gói"/>
    <n v="1"/>
    <n v="0.5"/>
    <d v="1899-12-30T12:00:00"/>
    <n v="44818"/>
    <s v="Lỗi bục- Phát hiện trong kho"/>
    <n v="37753.505100000002"/>
    <x v="0"/>
    <n v="1"/>
    <n v="37753.505100000002"/>
    <x v="2"/>
    <x v="0"/>
  </r>
  <r>
    <x v="0"/>
    <x v="11"/>
    <n v="44561"/>
    <x v="5"/>
    <x v="0"/>
    <x v="16"/>
    <x v="0"/>
    <x v="384"/>
    <s v="Lẩu thả Long Cung 300g"/>
    <s v="Gói"/>
    <n v="1"/>
    <n v="0.3"/>
    <d v="1899-12-30T07:12:00"/>
    <n v="44818"/>
    <s v="Lỗi bục- Phát hiện trong kho"/>
    <n v="26066.276600000001"/>
    <x v="0"/>
    <n v="1"/>
    <n v="26066.276600000001"/>
    <x v="2"/>
    <x v="0"/>
  </r>
  <r>
    <x v="0"/>
    <x v="11"/>
    <n v="44561"/>
    <x v="3"/>
    <x v="0"/>
    <x v="12"/>
    <x v="0"/>
    <x v="85"/>
    <s v="Bibigo Kimchi cải thảo cắt lát 100gr"/>
    <s v="Túi"/>
    <n v="1"/>
    <n v="0.1"/>
    <d v="1899-12-30T02:24:00"/>
    <n v="44560"/>
    <s v="Lỗi rách- Phát hiện khi giao hàng PXK212111/1081"/>
    <n v="7449.9988000000003"/>
    <x v="0"/>
    <n v="1"/>
    <n v="7449.9988000000003"/>
    <x v="2"/>
    <x v="0"/>
  </r>
  <r>
    <x v="0"/>
    <x v="11"/>
    <n v="44561"/>
    <x v="3"/>
    <x v="0"/>
    <x v="12"/>
    <x v="0"/>
    <x v="41"/>
    <s v="Bibigo Kimchi cải thảo chay 500gr"/>
    <s v="Hộp"/>
    <n v="1"/>
    <n v="0.5"/>
    <d v="1899-12-30T12:00:00"/>
    <n v="44559"/>
    <s v="Lỗi vỡ- Phát hiện khi giao hàng PXK212111/5403"/>
    <n v="26250.036800000002"/>
    <x v="0"/>
    <n v="1"/>
    <n v="26250.036800000002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m/>
    <s v="Mờ date- Phát hiện khi giao hàng PXK212111/1084"/>
    <n v="27424.990600000001"/>
    <x v="0"/>
    <n v="1"/>
    <n v="27424.990600000001"/>
    <x v="2"/>
    <x v="0"/>
  </r>
  <r>
    <x v="0"/>
    <x v="11"/>
    <n v="44561"/>
    <x v="0"/>
    <x v="0"/>
    <x v="18"/>
    <x v="0"/>
    <x v="187"/>
    <s v="Mandu BIBIGO Hải Sản Gói 350g Tặng Mandu BIBIGO Thịt &amp; Bắp Gói 175g"/>
    <s v="GOI"/>
    <n v="3"/>
    <n v="1.0499999999999998"/>
    <d v="1899-12-30T08:24:00"/>
    <n v="44812"/>
    <s v="Lỗi xẹp- Phát hiện khi giao hàng PXK212111/3562"/>
    <n v="184074"/>
    <x v="0"/>
    <n v="3"/>
    <n v="184074"/>
    <x v="2"/>
    <x v="0"/>
  </r>
  <r>
    <x v="0"/>
    <x v="11"/>
    <n v="44561"/>
    <x v="0"/>
    <x v="0"/>
    <x v="18"/>
    <x v="0"/>
    <x v="187"/>
    <s v="Mandu BIBIGO Hải Sản Gói 350g Tặng Mandu BIBIGO Thịt &amp; Bắp Gói 175g"/>
    <s v="GOI"/>
    <n v="1"/>
    <n v="0.35"/>
    <d v="1899-12-30T08:24:00"/>
    <n v="44812"/>
    <s v="Lỗi xẹp- Phát hiện khi giao hàng PXK212111T0462"/>
    <n v="61358"/>
    <x v="0"/>
    <n v="1"/>
    <n v="61358"/>
    <x v="2"/>
    <x v="0"/>
  </r>
  <r>
    <x v="0"/>
    <x v="11"/>
    <n v="44561"/>
    <x v="0"/>
    <x v="0"/>
    <x v="18"/>
    <x v="0"/>
    <x v="246"/>
    <s v="Bánh Mandu Thịt và Bắp CJ Bibigo – Gói 175g"/>
    <s v="Gói"/>
    <n v="3"/>
    <n v="0.52499999999999991"/>
    <d v="1899-12-30T04:12:00"/>
    <m/>
    <s v="Mờ date- Phát hiện khi giao hàng PXK212111T1182"/>
    <n v="47288.4303"/>
    <x v="0"/>
    <n v="3"/>
    <n v="47288.4303"/>
    <x v="2"/>
    <x v="0"/>
  </r>
  <r>
    <x v="0"/>
    <x v="11"/>
    <n v="44561"/>
    <x v="3"/>
    <x v="0"/>
    <x v="12"/>
    <x v="0"/>
    <x v="31"/>
    <s v="Bibigo Kimchi cải thảo - ngò 100gr"/>
    <s v="Túi"/>
    <n v="1"/>
    <n v="0.1"/>
    <d v="1899-12-30T02:24:00"/>
    <n v="44579"/>
    <s v="Lỗi bục- Phát hiện khi giao hàng PXK212111T1377"/>
    <n v="7549.9624000000003"/>
    <x v="0"/>
    <n v="1"/>
    <n v="7549.9624000000003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m/>
    <s v="Mờ date- Phát hiện khi giao hàng PXK212111T0732"/>
    <n v="51400.041100000002"/>
    <x v="0"/>
    <n v="1"/>
    <n v="51400.041100000002"/>
    <x v="2"/>
    <x v="0"/>
  </r>
  <r>
    <x v="0"/>
    <x v="11"/>
    <n v="44561"/>
    <x v="3"/>
    <x v="0"/>
    <x v="12"/>
    <x v="0"/>
    <x v="42"/>
    <s v="Dưa cải Bibigo 200G"/>
    <s v="Gói"/>
    <n v="3"/>
    <n v="0.60000000000000009"/>
    <d v="1899-12-30T04:48:00"/>
    <m/>
    <s v="Mờ date- Phát hiện khi giao hàng PXK212111T0732"/>
    <n v="19800"/>
    <x v="0"/>
    <n v="3"/>
    <n v="19800"/>
    <x v="2"/>
    <x v="0"/>
  </r>
  <r>
    <x v="0"/>
    <x v="11"/>
    <n v="44561"/>
    <x v="3"/>
    <x v="0"/>
    <x v="12"/>
    <x v="0"/>
    <x v="85"/>
    <s v="Bibigo Kimchi cải thảo cắt lát 100gr"/>
    <s v="Túi"/>
    <n v="3"/>
    <n v="0.30000000000000004"/>
    <d v="1899-12-30T02:24:00"/>
    <n v="44579"/>
    <s v="Lỗi bục- Phát hiện khi giao hàng PXK212112/0126"/>
    <n v="22349.9964"/>
    <x v="0"/>
    <n v="3"/>
    <n v="22349.9964"/>
    <x v="2"/>
    <x v="0"/>
  </r>
  <r>
    <x v="0"/>
    <x v="11"/>
    <n v="44561"/>
    <x v="3"/>
    <x v="0"/>
    <x v="12"/>
    <x v="0"/>
    <x v="41"/>
    <s v="Bibigo Kimchi cải thảo chay 500gr"/>
    <s v="Hộp"/>
    <n v="1"/>
    <n v="0.5"/>
    <d v="1899-12-30T12:00:00"/>
    <n v="44579"/>
    <s v="Lỗi bục- Phát hiện khi giao hàng PXK212111T0616"/>
    <n v="26250.036800000002"/>
    <x v="0"/>
    <n v="1"/>
    <n v="26250.036800000002"/>
    <x v="2"/>
    <x v="0"/>
  </r>
  <r>
    <x v="0"/>
    <x v="11"/>
    <n v="44561"/>
    <x v="3"/>
    <x v="0"/>
    <x v="12"/>
    <x v="0"/>
    <x v="41"/>
    <s v="Bibigo Kimchi cải thảo chay 500gr"/>
    <s v="Hộp"/>
    <n v="1"/>
    <n v="0.5"/>
    <d v="1899-12-30T12:00:00"/>
    <n v="44586"/>
    <s v="Lỗi vỡ- Phát hiện khi giao hàng PXK212112/0647"/>
    <n v="26250.036800000002"/>
    <x v="0"/>
    <n v="1"/>
    <n v="26250.036800000002"/>
    <x v="2"/>
    <x v="0"/>
  </r>
  <r>
    <x v="0"/>
    <x v="11"/>
    <n v="44561"/>
    <x v="3"/>
    <x v="0"/>
    <x v="12"/>
    <x v="0"/>
    <x v="85"/>
    <s v="Bibigo Kimchi cải thảo cắt lát 100gr"/>
    <s v="Túi"/>
    <n v="1"/>
    <n v="0.1"/>
    <d v="1899-12-30T02:24:00"/>
    <m/>
    <s v="Mờ date- Phát hiện khi giao hàng PXK212112/0979"/>
    <n v="7449.9988000000003"/>
    <x v="0"/>
    <n v="1"/>
    <n v="7449.9988000000003"/>
    <x v="2"/>
    <x v="0"/>
  </r>
  <r>
    <x v="0"/>
    <x v="11"/>
    <n v="44561"/>
    <x v="0"/>
    <x v="0"/>
    <x v="18"/>
    <x v="0"/>
    <x v="168"/>
    <s v="Bánh Mandu Thịt CJ Bibigo - Gói 175g"/>
    <s v="Gói"/>
    <n v="2"/>
    <n v="0.35"/>
    <d v="1899-12-30T04:12:00"/>
    <n v="44810"/>
    <s v="Mờ date- Phát hiện khi giao hàng PXK212112/0862"/>
    <n v="26925.001400000001"/>
    <x v="0"/>
    <n v="2"/>
    <n v="26925.001400000001"/>
    <x v="2"/>
    <x v="0"/>
  </r>
  <r>
    <x v="0"/>
    <x v="11"/>
    <n v="44561"/>
    <x v="3"/>
    <x v="0"/>
    <x v="12"/>
    <x v="0"/>
    <x v="41"/>
    <s v="Bibigo Kimchi cải thảo chay 500gr"/>
    <s v="Hộp"/>
    <n v="1"/>
    <n v="0.5"/>
    <d v="1899-12-30T12:00:00"/>
    <n v="44579"/>
    <s v="Lỗi vỡ- Phát hiện trong kho"/>
    <n v="26250.036800000002"/>
    <x v="0"/>
    <n v="1"/>
    <n v="26250.036800000002"/>
    <x v="2"/>
    <x v="0"/>
  </r>
  <r>
    <x v="0"/>
    <x v="11"/>
    <n v="44561"/>
    <x v="3"/>
    <x v="0"/>
    <x v="12"/>
    <x v="0"/>
    <x v="41"/>
    <s v="Bibigo Kimchi cải thảo chay 500gr"/>
    <s v="Hộp"/>
    <n v="1"/>
    <n v="0.5"/>
    <d v="1899-12-30T12:00:00"/>
    <n v="44586"/>
    <s v="Lỗi vỡ- Phát hiện trong kho"/>
    <n v="26250.036800000002"/>
    <x v="0"/>
    <n v="1"/>
    <n v="26250.036800000002"/>
    <x v="2"/>
    <x v="0"/>
  </r>
  <r>
    <x v="0"/>
    <x v="11"/>
    <n v="44561"/>
    <x v="3"/>
    <x v="0"/>
    <x v="12"/>
    <x v="0"/>
    <x v="41"/>
    <s v="Bibigo Kimchi cải thảo chay 500gr"/>
    <s v="Hộp"/>
    <n v="2"/>
    <n v="1"/>
    <d v="1899-12-30T12:00:00"/>
    <n v="44591"/>
    <s v="Lỗi vỡ- Phát hiện trong kho"/>
    <n v="52500.073600000003"/>
    <x v="0"/>
    <n v="2"/>
    <n v="52500.073600000003"/>
    <x v="2"/>
    <x v="0"/>
  </r>
  <r>
    <x v="0"/>
    <x v="11"/>
    <n v="44561"/>
    <x v="3"/>
    <x v="0"/>
    <x v="12"/>
    <x v="0"/>
    <x v="31"/>
    <s v="Bibigo Kimchi cải thảo - ngò 100gr"/>
    <s v="Túi"/>
    <n v="1"/>
    <n v="0.1"/>
    <d v="1899-12-30T02:24:00"/>
    <n v="44579"/>
    <s v="Lỗi rách- Phát hiện trong kho"/>
    <n v="7549.9624000000003"/>
    <x v="0"/>
    <n v="1"/>
    <n v="7549.9624000000003"/>
    <x v="2"/>
    <x v="0"/>
  </r>
  <r>
    <x v="0"/>
    <x v="11"/>
    <n v="44561"/>
    <x v="3"/>
    <x v="0"/>
    <x v="12"/>
    <x v="0"/>
    <x v="31"/>
    <s v="Bibigo Kimchi cải thảo - ngò 100gr"/>
    <s v="Túi"/>
    <n v="2"/>
    <n v="0.2"/>
    <d v="1899-12-30T02:24:00"/>
    <n v="44588"/>
    <s v="Lỗi rách- Phát hiện trong kho"/>
    <n v="15099.924800000001"/>
    <x v="0"/>
    <n v="2"/>
    <n v="15099.924800000001"/>
    <x v="2"/>
    <x v="0"/>
  </r>
  <r>
    <x v="0"/>
    <x v="11"/>
    <n v="44561"/>
    <x v="3"/>
    <x v="0"/>
    <x v="12"/>
    <x v="0"/>
    <x v="42"/>
    <s v="Dưa cải Bibigo 200G"/>
    <s v="Gói"/>
    <n v="1"/>
    <n v="0.2"/>
    <d v="1899-12-30T04:48:00"/>
    <n v="44584"/>
    <s v="Lỗi rách- Phát hiện trong kho"/>
    <n v="6600"/>
    <x v="0"/>
    <n v="1"/>
    <n v="6600"/>
    <x v="2"/>
    <x v="0"/>
  </r>
  <r>
    <x v="0"/>
    <x v="11"/>
    <n v="44561"/>
    <x v="3"/>
    <x v="0"/>
    <x v="12"/>
    <x v="0"/>
    <x v="85"/>
    <s v="Bibigo Kimchi cải thảo cắt lát 100gr"/>
    <s v="Túi"/>
    <n v="3"/>
    <n v="0.30000000000000004"/>
    <d v="1899-12-30T02:24:00"/>
    <n v="44579"/>
    <s v="Lỗi rách- Phát hiện trong kho"/>
    <n v="22349.9964"/>
    <x v="0"/>
    <n v="3"/>
    <n v="22349.9964"/>
    <x v="2"/>
    <x v="0"/>
  </r>
  <r>
    <x v="0"/>
    <x v="11"/>
    <n v="44561"/>
    <x v="0"/>
    <x v="0"/>
    <x v="0"/>
    <x v="0"/>
    <x v="184"/>
    <s v="Phô Mai Da Xốp Cầu Tre - Tôm Mayonnaise - Gói 300g (hàng tặng cho CG DX Tôm Thịt)"/>
    <s v="GOI"/>
    <n v="1"/>
    <n v="0.3"/>
    <d v="1899-12-30T07:12:00"/>
    <n v="44838"/>
    <s v="Lỗi rách- Phát hiện trong kho"/>
    <n v="33450.056100000002"/>
    <x v="0"/>
    <n v="1"/>
    <n v="33450.056100000002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n v="44810"/>
    <s v="Lỗi rách- Phát hiện trong kho"/>
    <n v="27424.990600000001"/>
    <x v="0"/>
    <n v="1"/>
    <n v="27424.990600000001"/>
    <x v="2"/>
    <x v="0"/>
  </r>
  <r>
    <x v="0"/>
    <x v="11"/>
    <n v="44561"/>
    <x v="5"/>
    <x v="0"/>
    <x v="16"/>
    <x v="0"/>
    <x v="27"/>
    <s v="Bò viên ngon Cầu Tre 500gr"/>
    <s v="Gói"/>
    <n v="1"/>
    <n v="0.5"/>
    <d v="1899-12-30T12:00:00"/>
    <n v="44860"/>
    <s v="Lỗi long chân không- Phát hiện trong kho"/>
    <n v="42550.0075"/>
    <x v="0"/>
    <n v="1"/>
    <n v="42550.0075"/>
    <x v="2"/>
    <x v="0"/>
  </r>
  <r>
    <x v="0"/>
    <x v="11"/>
    <n v="44561"/>
    <x v="1"/>
    <x v="0"/>
    <x v="41"/>
    <x v="0"/>
    <x v="333"/>
    <s v="CJ Cautre I'm Rice Cơm chiên hải sản khay 150g"/>
    <s v="Khay"/>
    <n v="2"/>
    <n v="0.3"/>
    <d v="1899-12-30T03:36:00"/>
    <n v="44884"/>
    <s v="Lỗi rách- Phát hiện trong kho"/>
    <n v="22850.131000000001"/>
    <x v="0"/>
    <n v="2"/>
    <n v="22850.131000000001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n v="44586"/>
    <s v="Lỗi bục- Phát hiện trong kho"/>
    <n v="51400.041100000002"/>
    <x v="0"/>
    <n v="1"/>
    <n v="51400.041100000002"/>
    <x v="2"/>
    <x v="0"/>
  </r>
  <r>
    <x v="0"/>
    <x v="11"/>
    <n v="44561"/>
    <x v="0"/>
    <x v="0"/>
    <x v="18"/>
    <x v="0"/>
    <x v="168"/>
    <s v="Bánh Mandu Thịt CJ Bibigo - Gói 175g"/>
    <s v="Gói"/>
    <n v="1"/>
    <n v="0.17499999999999999"/>
    <d v="1899-12-30T04:12:00"/>
    <n v="44839"/>
    <s v="Lỗi mờ date nsx- Phát hiện khi giao hàng PXK212112/2078"/>
    <n v="13462.500700000001"/>
    <x v="0"/>
    <n v="1"/>
    <n v="13462.500700000001"/>
    <x v="2"/>
    <x v="0"/>
  </r>
  <r>
    <x v="0"/>
    <x v="11"/>
    <n v="44561"/>
    <x v="3"/>
    <x v="0"/>
    <x v="12"/>
    <x v="0"/>
    <x v="31"/>
    <s v="Bibigo Kimchi cải thảo - ngò 100gr"/>
    <s v="Túi"/>
    <n v="1"/>
    <n v="0.1"/>
    <d v="1899-12-30T02:24:00"/>
    <n v="44588"/>
    <s v="Lỗi bục- Phát hiện khi giao hàng PXK212112/2286"/>
    <n v="7549.9624000000003"/>
    <x v="0"/>
    <n v="1"/>
    <n v="7549.9624000000003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n v="44590"/>
    <s v="Lỗi bục- Phát hiện khi giao hàng PXK212112/2427"/>
    <n v="51400.041100000002"/>
    <x v="0"/>
    <n v="1"/>
    <n v="51400.041100000002"/>
    <x v="2"/>
    <x v="0"/>
  </r>
  <r>
    <x v="0"/>
    <x v="11"/>
    <n v="44561"/>
    <x v="3"/>
    <x v="0"/>
    <x v="12"/>
    <x v="0"/>
    <x v="85"/>
    <s v="Bibigo Kimchi cải thảo cắt lát 100gr"/>
    <s v="Túi"/>
    <n v="1"/>
    <n v="0.1"/>
    <d v="1899-12-30T02:24:00"/>
    <n v="44583"/>
    <s v="Lỗi bục- Phát hiện trong kho"/>
    <n v="7449.9988000000003"/>
    <x v="0"/>
    <n v="1"/>
    <n v="7449.9988000000003"/>
    <x v="2"/>
    <x v="0"/>
  </r>
  <r>
    <x v="0"/>
    <x v="11"/>
    <n v="44561"/>
    <x v="3"/>
    <x v="0"/>
    <x v="12"/>
    <x v="0"/>
    <x v="85"/>
    <s v="Bibigo Kimchi cải thảo cắt lát 100gr"/>
    <s v="Túi"/>
    <n v="1"/>
    <n v="0.1"/>
    <d v="1899-12-30T02:24:00"/>
    <n v="44591"/>
    <s v="Lỗi bục- Phát hiện trong kho"/>
    <n v="7449.9988000000003"/>
    <x v="0"/>
    <n v="1"/>
    <n v="7449.9988000000003"/>
    <x v="2"/>
    <x v="0"/>
  </r>
  <r>
    <x v="0"/>
    <x v="11"/>
    <n v="44561"/>
    <x v="3"/>
    <x v="0"/>
    <x v="12"/>
    <x v="0"/>
    <x v="31"/>
    <s v="Bibigo Kimchi cải thảo - ngò 100gr"/>
    <s v="Túi"/>
    <n v="1"/>
    <n v="0.1"/>
    <d v="1899-12-30T02:24:00"/>
    <n v="44588"/>
    <s v="Lỗi bục- Phát hiện trong kho"/>
    <n v="7549.9624000000003"/>
    <x v="0"/>
    <n v="1"/>
    <n v="7549.9624000000003"/>
    <x v="2"/>
    <x v="0"/>
  </r>
  <r>
    <x v="0"/>
    <x v="11"/>
    <n v="44561"/>
    <x v="0"/>
    <x v="0"/>
    <x v="18"/>
    <x v="0"/>
    <x v="168"/>
    <s v="Bánh Mandu Thịt CJ Bibigo - Gói 175g"/>
    <s v="Gói"/>
    <n v="1"/>
    <n v="0.17499999999999999"/>
    <d v="1899-12-30T04:12:00"/>
    <n v="44839"/>
    <s v="Lỗi rách- Phát hiện trong kho"/>
    <n v="13462.500700000001"/>
    <x v="0"/>
    <n v="1"/>
    <n v="13462.500700000001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845"/>
    <s v="Lỗi rách- Phát hiện trong kho"/>
    <n v="15162.510700000001"/>
    <x v="0"/>
    <n v="1"/>
    <n v="15162.510700000001"/>
    <x v="2"/>
    <x v="0"/>
  </r>
  <r>
    <x v="0"/>
    <x v="11"/>
    <n v="44561"/>
    <x v="1"/>
    <x v="0"/>
    <x v="41"/>
    <x v="0"/>
    <x v="333"/>
    <s v="CJ Cautre I'm Rice Cơm chiên hải sản khay 150g"/>
    <s v="Khay"/>
    <n v="1"/>
    <n v="0.15"/>
    <d v="1899-12-30T03:36:00"/>
    <n v="44894"/>
    <s v="Lỗi rách- Phát hiện trong kho"/>
    <n v="11425.065500000001"/>
    <x v="0"/>
    <n v="1"/>
    <n v="11425.065500000001"/>
    <x v="2"/>
    <x v="0"/>
  </r>
  <r>
    <x v="0"/>
    <x v="11"/>
    <n v="44561"/>
    <x v="3"/>
    <x v="0"/>
    <x v="12"/>
    <x v="0"/>
    <x v="339"/>
    <s v="Bibigo Kimchi cải thảo cắt lát 3kg"/>
    <s v="Túi"/>
    <n v="1"/>
    <n v="3"/>
    <d v="1900-01-02T00:00:00"/>
    <n v="44601"/>
    <s v="Lỗi bục- Phát hiện trong kho"/>
    <n v="119500"/>
    <x v="0"/>
    <n v="1"/>
    <n v="119500"/>
    <x v="2"/>
    <x v="0"/>
  </r>
  <r>
    <x v="0"/>
    <x v="11"/>
    <n v="44561"/>
    <x v="3"/>
    <x v="0"/>
    <x v="0"/>
    <x v="0"/>
    <x v="68"/>
    <s v="Bibigo Kimchi cải thảo - ngò 500gr"/>
    <s v="Hộp"/>
    <n v="1"/>
    <n v="0.5"/>
    <d v="1899-12-30T12:00:00"/>
    <n v="44596"/>
    <s v="Lỗi vỡ- Phát hiện khi giao hàng PXK212112/3317"/>
    <n v="27750.090400000001"/>
    <x v="0"/>
    <n v="1"/>
    <n v="27750.090400000001"/>
    <x v="2"/>
    <x v="0"/>
  </r>
  <r>
    <x v="0"/>
    <x v="11"/>
    <n v="44561"/>
    <x v="0"/>
    <x v="0"/>
    <x v="18"/>
    <x v="0"/>
    <x v="168"/>
    <s v="Bánh Mandu Thịt CJ Bibigo - Gói 175g"/>
    <s v="Gói"/>
    <n v="1"/>
    <n v="0.17499999999999999"/>
    <d v="1899-12-30T04:12:00"/>
    <n v="44839"/>
    <s v="Lỗi rách- Phát hiện trong kho"/>
    <n v="13462.500700000001"/>
    <x v="0"/>
    <n v="1"/>
    <n v="13462.500700000001"/>
    <x v="2"/>
    <x v="0"/>
  </r>
  <r>
    <x v="0"/>
    <x v="11"/>
    <n v="44561"/>
    <x v="1"/>
    <x v="0"/>
    <x v="41"/>
    <x v="0"/>
    <x v="333"/>
    <s v="CJ Cautre I'm Rice Cơm chiên hải sản khay 150g"/>
    <s v="Khay"/>
    <n v="2"/>
    <n v="0.3"/>
    <d v="1899-12-30T03:36:00"/>
    <n v="44894"/>
    <s v="Lỗi rách- Phát hiện trong kho"/>
    <n v="22850.131000000001"/>
    <x v="0"/>
    <n v="2"/>
    <n v="22850.131000000001"/>
    <x v="2"/>
    <x v="0"/>
  </r>
  <r>
    <x v="0"/>
    <x v="11"/>
    <n v="44561"/>
    <x v="1"/>
    <x v="0"/>
    <x v="26"/>
    <x v="0"/>
    <x v="334"/>
    <s v="CJ Cautre I’m Rice Cơm chiên Kimchi Khay 150g"/>
    <s v="Khay"/>
    <n v="3"/>
    <n v="0.45"/>
    <d v="1899-12-30T03:36:00"/>
    <n v="44868"/>
    <s v="Lỗi rách- Phát hiện trong kho"/>
    <n v="32775.003299999997"/>
    <x v="0"/>
    <n v="3"/>
    <n v="32775.003299999997"/>
    <x v="2"/>
    <x v="0"/>
  </r>
  <r>
    <x v="0"/>
    <x v="11"/>
    <n v="44561"/>
    <x v="3"/>
    <x v="0"/>
    <x v="12"/>
    <x v="0"/>
    <x v="42"/>
    <s v="Dưa cải Bibigo 200G"/>
    <s v="Gói"/>
    <n v="3"/>
    <n v="0.60000000000000009"/>
    <d v="1899-12-30T04:48:00"/>
    <n v="44598"/>
    <s v="Lỗi bục- Phát hiện trong kho"/>
    <n v="19800"/>
    <x v="0"/>
    <n v="3"/>
    <n v="19800"/>
    <x v="2"/>
    <x v="0"/>
  </r>
  <r>
    <x v="0"/>
    <x v="11"/>
    <n v="44561"/>
    <x v="3"/>
    <x v="0"/>
    <x v="12"/>
    <x v="0"/>
    <x v="85"/>
    <s v="Bibigo Kimchi cải thảo cắt lát 100gr"/>
    <s v="Túi"/>
    <n v="1"/>
    <n v="0.1"/>
    <d v="1899-12-30T02:24:00"/>
    <n v="44593"/>
    <s v="Lỗi bục- Phát hiện khi giao hàng PXK212112/3713"/>
    <n v="7449.9988000000003"/>
    <x v="0"/>
    <n v="1"/>
    <n v="7449.9988000000003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845"/>
    <s v="Lỗi bục- Phát hiện khi giao hàng PXK212112/3594"/>
    <n v="15162.510700000001"/>
    <x v="0"/>
    <n v="1"/>
    <n v="15162.510700000001"/>
    <x v="2"/>
    <x v="0"/>
  </r>
  <r>
    <x v="0"/>
    <x v="11"/>
    <n v="44561"/>
    <x v="3"/>
    <x v="0"/>
    <x v="12"/>
    <x v="0"/>
    <x v="31"/>
    <s v="Bibigo Kimchi cải thảo - ngò 100gr"/>
    <s v="Túi"/>
    <n v="1"/>
    <n v="0.1"/>
    <d v="1899-12-30T02:24:00"/>
    <n v="44603"/>
    <s v="Lỗi bục- Phát hiện khi giao hàng PXK212112/4181"/>
    <n v="7549.9624000000003"/>
    <x v="0"/>
    <n v="1"/>
    <n v="7549.9624000000003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n v="44593"/>
    <s v="Lỗi bục đầu- Phát hiện trong kho"/>
    <n v="51400.041100000002"/>
    <x v="0"/>
    <n v="1"/>
    <n v="51400.041100000002"/>
    <x v="2"/>
    <x v="0"/>
  </r>
  <r>
    <x v="0"/>
    <x v="11"/>
    <n v="44561"/>
    <x v="3"/>
    <x v="0"/>
    <x v="12"/>
    <x v="0"/>
    <x v="42"/>
    <s v="Dưa cải Bibigo 200G"/>
    <s v="Gói"/>
    <n v="1"/>
    <n v="0.2"/>
    <d v="1899-12-30T04:48:00"/>
    <n v="44601"/>
    <s v="Lỗi bục- Phát hiện trong kho"/>
    <n v="6600"/>
    <x v="0"/>
    <n v="1"/>
    <n v="6600"/>
    <x v="2"/>
    <x v="0"/>
  </r>
  <r>
    <x v="0"/>
    <x v="11"/>
    <n v="44561"/>
    <x v="0"/>
    <x v="0"/>
    <x v="18"/>
    <x v="0"/>
    <x v="168"/>
    <s v="Bánh Mandu Thịt CJ Bibigo - Gói 175g"/>
    <s v="Gói"/>
    <n v="2"/>
    <n v="0.35"/>
    <d v="1899-12-30T04:12:00"/>
    <n v="44838"/>
    <s v="Lỗi rách- Phát hiện trong kho"/>
    <n v="26925.001400000001"/>
    <x v="0"/>
    <n v="2"/>
    <n v="26925.001400000001"/>
    <x v="2"/>
    <x v="0"/>
  </r>
  <r>
    <x v="0"/>
    <x v="11"/>
    <n v="44561"/>
    <x v="0"/>
    <x v="0"/>
    <x v="18"/>
    <x v="0"/>
    <x v="168"/>
    <s v="Bánh Mandu Thịt CJ Bibigo - Gói 175g"/>
    <s v="Gói"/>
    <n v="1"/>
    <n v="0.17499999999999999"/>
    <d v="1899-12-30T04:12:00"/>
    <n v="44839"/>
    <s v="Lỗi rách- Phát hiện trong kho"/>
    <n v="13462.500700000001"/>
    <x v="0"/>
    <n v="1"/>
    <n v="13462.500700000001"/>
    <x v="2"/>
    <x v="0"/>
  </r>
  <r>
    <x v="0"/>
    <x v="11"/>
    <n v="44561"/>
    <x v="0"/>
    <x v="0"/>
    <x v="18"/>
    <x v="0"/>
    <x v="129"/>
    <s v="Bánh Mandu Hải sản CJ Bibigo - Gói 175g"/>
    <s v="Gói"/>
    <n v="1"/>
    <n v="0.17499999999999999"/>
    <d v="1899-12-30T04:12:00"/>
    <n v="44845"/>
    <s v="Lỗi rách- Phát hiện trong kho"/>
    <n v="15162.510700000001"/>
    <x v="0"/>
    <n v="1"/>
    <n v="15162.510700000001"/>
    <x v="2"/>
    <x v="0"/>
  </r>
  <r>
    <x v="0"/>
    <x v="11"/>
    <n v="44561"/>
    <x v="1"/>
    <x v="0"/>
    <x v="26"/>
    <x v="0"/>
    <x v="334"/>
    <s v="CJ Cautre I’m Rice Cơm chiên Kimchi Khay 150g"/>
    <s v="Khay"/>
    <n v="1"/>
    <n v="0.15"/>
    <d v="1899-12-30T03:36:00"/>
    <n v="44868"/>
    <s v="Lỗi rách- Phát hiện trong kho"/>
    <n v="10925.001099999999"/>
    <x v="0"/>
    <n v="1"/>
    <n v="10925.001099999999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n v="44811"/>
    <s v="Lỗi rách- Phát hiện trong kho"/>
    <n v="27424.990600000001"/>
    <x v="0"/>
    <n v="1"/>
    <n v="27424.990600000001"/>
    <x v="2"/>
    <x v="0"/>
  </r>
  <r>
    <x v="0"/>
    <x v="11"/>
    <n v="44561"/>
    <x v="3"/>
    <x v="0"/>
    <x v="12"/>
    <x v="0"/>
    <x v="5"/>
    <s v="Bibigo Kimchi cải thảo cây 1kg"/>
    <s v="Túi"/>
    <n v="1"/>
    <n v="1"/>
    <d v="1899-12-31T00:00:00"/>
    <n v="44601"/>
    <s v="Lỗi mờ NSX- Phát hiện khi giao hàng PXK212112/6203"/>
    <n v="51400.041100000002"/>
    <x v="0"/>
    <n v="1"/>
    <n v="51400.041100000002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n v="44841"/>
    <s v="Lỗi bục- Phát hiện khi giao hàng PXK212112/7425"/>
    <n v="27424.990600000001"/>
    <x v="0"/>
    <n v="1"/>
    <n v="27424.990600000001"/>
    <x v="2"/>
    <x v="0"/>
  </r>
  <r>
    <x v="0"/>
    <x v="11"/>
    <n v="44561"/>
    <x v="1"/>
    <x v="0"/>
    <x v="41"/>
    <x v="0"/>
    <x v="385"/>
    <s v="CJ Cau Tre I'm Rice Cơm chiên tỏi Khay 240g"/>
    <s v="Khay"/>
    <n v="3"/>
    <n v="0.72"/>
    <d v="1899-12-30T05:45:36"/>
    <n v="44893"/>
    <s v="Lỗi vỡ hộp- Phát hiện trong kho"/>
    <n v="43617.636899999998"/>
    <x v="0"/>
    <n v="3"/>
    <n v="43617.636899999998"/>
    <x v="2"/>
    <x v="0"/>
  </r>
  <r>
    <x v="0"/>
    <x v="11"/>
    <n v="44561"/>
    <x v="1"/>
    <x v="0"/>
    <x v="41"/>
    <x v="0"/>
    <x v="385"/>
    <s v="CJ Cau Tre I'm Rice Cơm chiên tỏi Khay 240g"/>
    <s v="Khay"/>
    <n v="1"/>
    <n v="0.24"/>
    <d v="1899-12-30T05:45:36"/>
    <n v="44891"/>
    <s v="Lỗi vỡ hộp- Phát hiện trong kho"/>
    <n v="14539.212299999999"/>
    <x v="0"/>
    <n v="1"/>
    <n v="14539.212299999999"/>
    <x v="2"/>
    <x v="0"/>
  </r>
  <r>
    <x v="0"/>
    <x v="11"/>
    <n v="44561"/>
    <x v="1"/>
    <x v="0"/>
    <x v="26"/>
    <x v="0"/>
    <x v="334"/>
    <s v="CJ Cautre I’m Rice Cơm chiên Kimchi Khay 150g"/>
    <s v="Khay"/>
    <n v="1"/>
    <n v="0.15"/>
    <d v="1899-12-30T03:36:00"/>
    <n v="44897"/>
    <s v="Lỗi vỡ hộp- Phát hiện trong kho"/>
    <n v="10925.001099999999"/>
    <x v="0"/>
    <n v="1"/>
    <n v="10925.001099999999"/>
    <x v="2"/>
    <x v="0"/>
  </r>
  <r>
    <x v="0"/>
    <x v="11"/>
    <n v="44561"/>
    <x v="0"/>
    <x v="0"/>
    <x v="18"/>
    <x v="0"/>
    <x v="88"/>
    <s v="Bánh Mandu Thịt CJ Bibigo – Gói 350g"/>
    <s v="Gói"/>
    <n v="1"/>
    <n v="0.35"/>
    <d v="1899-12-30T08:24:00"/>
    <n v="44841"/>
    <s v="Lỗi rách- Phát hiện trong kho"/>
    <n v="27424.990600000001"/>
    <x v="0"/>
    <n v="1"/>
    <n v="27424.990600000001"/>
    <x v="2"/>
    <x v="0"/>
  </r>
  <r>
    <x v="0"/>
    <x v="11"/>
    <n v="44561"/>
    <x v="0"/>
    <x v="0"/>
    <x v="18"/>
    <x v="0"/>
    <x v="144"/>
    <s v="Bánh Mandu Hải Sản CJ Bibigo - Gói 1.505Kg - Thùng 9,03Kg"/>
    <s v="Gói"/>
    <n v="18"/>
    <n v="27.089999999999996"/>
    <d v="1899-12-31T12:07:12"/>
    <n v="44790"/>
    <s v="Lỗi rách to- Phát hiện khi lọc hàng"/>
    <n v="2064195"/>
    <x v="0"/>
    <n v="0"/>
    <n v="0"/>
    <x v="2"/>
    <x v="0"/>
  </r>
  <r>
    <x v="0"/>
    <x v="11"/>
    <n v="44561"/>
    <x v="0"/>
    <x v="0"/>
    <x v="18"/>
    <x v="0"/>
    <x v="144"/>
    <s v="Bánh Mandu Hải Sản CJ Bibigo - Gói 1.505Kg - Thùng 9,03Kg"/>
    <s v="Gói"/>
    <n v="42"/>
    <n v="63.209999999999994"/>
    <d v="1899-12-31T12:07:12"/>
    <n v="44790"/>
    <s v="Lỗi rách nhỏ- Phát hiện khi lọc hàng"/>
    <n v="4816455"/>
    <x v="0"/>
    <n v="0"/>
    <n v="0"/>
    <x v="2"/>
    <x v="0"/>
  </r>
  <r>
    <x v="0"/>
    <x v="11"/>
    <n v="44561"/>
    <x v="7"/>
    <x v="0"/>
    <x v="50"/>
    <x v="0"/>
    <x v="386"/>
    <s v="Bột mì 1KG"/>
    <s v="Gói"/>
    <n v="1"/>
    <n v="10"/>
    <d v="1900-01-09T00:00:00"/>
    <n v="44866"/>
    <s v="Lỗi rách trong thùng nguyên- Phát hiện trong kho"/>
    <n v="69083.285499999998"/>
    <x v="0"/>
    <n v="0"/>
    <n v="0"/>
    <x v="2"/>
    <x v="0"/>
  </r>
  <r>
    <x v="0"/>
    <x v="11"/>
    <n v="44561"/>
    <x v="0"/>
    <x v="0"/>
    <x v="18"/>
    <x v="2"/>
    <x v="58"/>
    <s v="BIBIGO bánh xếp vị Kimchi  420G"/>
    <s v="Gói"/>
    <n v="1"/>
    <n v="0.42"/>
    <d v="1899-12-30T10:04:48"/>
    <n v="44827"/>
    <s v="Rách"/>
    <n v="37296.235500000003"/>
    <x v="2"/>
    <n v="0"/>
    <n v="0"/>
    <x v="2"/>
    <x v="0"/>
  </r>
  <r>
    <x v="0"/>
    <x v="11"/>
    <n v="44561"/>
    <x v="0"/>
    <x v="0"/>
    <x v="18"/>
    <x v="2"/>
    <x v="220"/>
    <s v="BIBIGO Hoành thánh Mini  370G"/>
    <s v="Gói"/>
    <n v="2"/>
    <n v="0.74"/>
    <d v="1899-12-30T08:52:48"/>
    <n v="44672"/>
    <s v="Rách"/>
    <n v="76396.101200000005"/>
    <x v="0"/>
    <n v="2"/>
    <n v="76396.101200000005"/>
    <x v="2"/>
    <x v="0"/>
  </r>
  <r>
    <x v="0"/>
    <x v="11"/>
    <n v="44561"/>
    <x v="5"/>
    <x v="0"/>
    <x v="16"/>
    <x v="2"/>
    <x v="263"/>
    <s v="Cá viên rau củ Cầu Tre 500g"/>
    <s v="Túi"/>
    <n v="7"/>
    <n v="3.5"/>
    <d v="1899-12-30T12:00:00"/>
    <n v="44629"/>
    <s v="Rách"/>
    <n v="162898.9999"/>
    <x v="2"/>
    <n v="0"/>
    <n v="0"/>
    <x v="2"/>
    <x v="0"/>
  </r>
  <r>
    <x v="0"/>
    <x v="11"/>
    <n v="44561"/>
    <x v="0"/>
    <x v="0"/>
    <x v="18"/>
    <x v="2"/>
    <x v="62"/>
    <s v="Bánh Mandu Thịt CJ Bibigo - gói 1.505kg- Thùng 9,03 kg"/>
    <s v="Gói"/>
    <n v="2"/>
    <n v="3.01"/>
    <d v="1899-12-31T12:07:12"/>
    <n v="44567"/>
    <s v="NPP trả về không đạt"/>
    <n v="213867.50760000001"/>
    <x v="2"/>
    <n v="0"/>
    <n v="0"/>
    <x v="2"/>
    <x v="0"/>
  </r>
  <r>
    <x v="0"/>
    <x v="11"/>
    <n v="44561"/>
    <x v="0"/>
    <x v="0"/>
    <x v="18"/>
    <x v="2"/>
    <x v="62"/>
    <s v="Bánh Mandu Thịt CJ Bibigo - gói 1.505kg- Thùng 9,03 kg"/>
    <s v="Gói"/>
    <n v="1"/>
    <n v="1.5049999999999999"/>
    <d v="1899-12-31T12:07:12"/>
    <n v="44645"/>
    <s v="Hàng thu hồi không đạt của NPP Lê Thị Phụng"/>
    <n v="106933.75380000001"/>
    <x v="0"/>
    <n v="1"/>
    <n v="106933.75380000001"/>
    <x v="2"/>
    <x v="0"/>
  </r>
  <r>
    <x v="0"/>
    <x v="11"/>
    <n v="44561"/>
    <x v="0"/>
    <x v="0"/>
    <x v="18"/>
    <x v="2"/>
    <x v="62"/>
    <s v="Bánh Mandu Thịt CJ Bibigo - gói 1.505kg- Thùng 9,03 kg"/>
    <s v="Gói"/>
    <n v="8"/>
    <n v="12.04"/>
    <d v="1899-12-31T12:07:12"/>
    <n v="44678"/>
    <s v="Các cửa hàng Ministop trả về ko đạt"/>
    <n v="855470.03040000005"/>
    <x v="2"/>
    <n v="0"/>
    <n v="0"/>
    <x v="2"/>
    <x v="0"/>
  </r>
  <r>
    <x v="0"/>
    <x v="11"/>
    <n v="44561"/>
    <x v="0"/>
    <x v="0"/>
    <x v="18"/>
    <x v="2"/>
    <x v="62"/>
    <s v="Bánh Mandu Thịt CJ Bibigo - gói 1.505kg- Thùng 9,03 kg"/>
    <s v="Gói"/>
    <n v="1"/>
    <n v="1.5049999999999999"/>
    <d v="1899-12-31T12:07:12"/>
    <n v="44678"/>
    <s v="NPP trả về không đạt"/>
    <n v="106933.75380000001"/>
    <x v="2"/>
    <n v="0"/>
    <n v="0"/>
    <x v="2"/>
    <x v="0"/>
  </r>
  <r>
    <x v="0"/>
    <x v="11"/>
    <n v="44561"/>
    <x v="0"/>
    <x v="0"/>
    <x v="18"/>
    <x v="2"/>
    <x v="62"/>
    <s v="Bánh Mandu Thịt CJ Bibigo - gói 1.505kg- Thùng 9,03 kg"/>
    <s v="Gói"/>
    <n v="28"/>
    <n v="42.14"/>
    <d v="1899-12-31T12:07:12"/>
    <n v="44761"/>
    <s v="Các cửa hàng Ministop trả về ko đạt"/>
    <n v="2994145.1063999999"/>
    <x v="0"/>
    <n v="28"/>
    <n v="2994145.1063999999"/>
    <x v="2"/>
    <x v="0"/>
  </r>
  <r>
    <x v="0"/>
    <x v="11"/>
    <n v="44561"/>
    <x v="0"/>
    <x v="0"/>
    <x v="18"/>
    <x v="2"/>
    <x v="62"/>
    <s v="Bánh Mandu Thịt CJ Bibigo - gói 1.505kg- Thùng 9,03 kg"/>
    <s v="Gói"/>
    <n v="14"/>
    <n v="21.07"/>
    <d v="1899-12-31T12:07:12"/>
    <n v="44762"/>
    <s v="Rách"/>
    <n v="1497072.5532"/>
    <x v="0"/>
    <n v="14"/>
    <n v="1497072.5532"/>
    <x v="2"/>
    <x v="0"/>
  </r>
  <r>
    <x v="0"/>
    <x v="11"/>
    <n v="44561"/>
    <x v="0"/>
    <x v="0"/>
    <x v="18"/>
    <x v="2"/>
    <x v="62"/>
    <s v="Bánh Mandu Thịt CJ Bibigo - gói 1.505kg- Thùng 9,03 kg"/>
    <s v="Gói"/>
    <n v="1"/>
    <n v="1.5049999999999999"/>
    <d v="1899-12-31T12:07:12"/>
    <n v="44790"/>
    <s v="MEGA BÌNH DƯƠNG TRẢ VỀ HÀNG KO ĐẠT"/>
    <n v="106933.75380000001"/>
    <x v="0"/>
    <n v="1"/>
    <n v="106933.75380000001"/>
    <x v="2"/>
    <x v="0"/>
  </r>
  <r>
    <x v="0"/>
    <x v="11"/>
    <n v="44561"/>
    <x v="0"/>
    <x v="0"/>
    <x v="18"/>
    <x v="2"/>
    <x v="62"/>
    <s v="Bánh Mandu Thịt CJ Bibigo - gói 1.505kg- Thùng 9,03 kg"/>
    <s v="Gói"/>
    <n v="4"/>
    <n v="6.02"/>
    <d v="1899-12-31T12:07:12"/>
    <n v="44810"/>
    <s v="Rách"/>
    <n v="427735.01520000002"/>
    <x v="2"/>
    <n v="0"/>
    <n v="0"/>
    <x v="2"/>
    <x v="0"/>
  </r>
  <r>
    <x v="0"/>
    <x v="11"/>
    <n v="44561"/>
    <x v="0"/>
    <x v="0"/>
    <x v="18"/>
    <x v="2"/>
    <x v="62"/>
    <s v="Bánh Mandu Thịt CJ Bibigo - gói 1.505kg- Thùng 9,03 kg"/>
    <s v="Gói"/>
    <n v="2"/>
    <n v="3.01"/>
    <d v="1899-12-31T12:07:12"/>
    <n v="44840"/>
    <s v="Rách"/>
    <n v="213867.50760000001"/>
    <x v="2"/>
    <n v="0"/>
    <n v="0"/>
    <x v="2"/>
    <x v="0"/>
  </r>
  <r>
    <x v="0"/>
    <x v="11"/>
    <n v="44561"/>
    <x v="0"/>
    <x v="0"/>
    <x v="18"/>
    <x v="2"/>
    <x v="151"/>
    <s v="Bánh Mandu Thịt và Bắp CJ Bibigo - Gói 1.505Kg - Thùng 9,03Kg"/>
    <s v="Gói"/>
    <n v="2"/>
    <n v="3.01"/>
    <d v="1899-12-31T12:07:12"/>
    <n v="44644"/>
    <s v="NPP NGÂN KHÁNH TRẢ VỀ KO ĐẠT"/>
    <n v="229355"/>
    <x v="0"/>
    <n v="2"/>
    <n v="229355"/>
    <x v="2"/>
    <x v="0"/>
  </r>
  <r>
    <x v="0"/>
    <x v="11"/>
    <n v="44561"/>
    <x v="0"/>
    <x v="0"/>
    <x v="18"/>
    <x v="2"/>
    <x v="151"/>
    <s v="Bánh Mandu Thịt và Bắp CJ Bibigo - Gói 1.505Kg - Thùng 9,03Kg"/>
    <s v="Gói"/>
    <n v="11"/>
    <n v="16.555"/>
    <d v="1899-12-31T12:07:12"/>
    <n v="44670"/>
    <s v="NPP trả về không đạt"/>
    <n v="1261452.5"/>
    <x v="2"/>
    <n v="0"/>
    <n v="0"/>
    <x v="2"/>
    <x v="0"/>
  </r>
  <r>
    <x v="0"/>
    <x v="11"/>
    <n v="44561"/>
    <x v="0"/>
    <x v="0"/>
    <x v="18"/>
    <x v="2"/>
    <x v="151"/>
    <s v="Bánh Mandu Thịt và Bắp CJ Bibigo - Gói 1.505Kg - Thùng 9,03Kg"/>
    <s v="Gói"/>
    <n v="7"/>
    <n v="10.535"/>
    <d v="1899-12-31T12:07:12"/>
    <n v="44671"/>
    <s v="NPP trả về không đạt"/>
    <n v="802742.5"/>
    <x v="2"/>
    <n v="0"/>
    <n v="0"/>
    <x v="2"/>
    <x v="0"/>
  </r>
  <r>
    <x v="0"/>
    <x v="11"/>
    <n v="44561"/>
    <x v="0"/>
    <x v="0"/>
    <x v="18"/>
    <x v="2"/>
    <x v="151"/>
    <s v="Bánh Mandu Thịt và Bắp CJ Bibigo - Gói 1.505Kg - Thùng 9,03Kg"/>
    <s v="Gói"/>
    <n v="3"/>
    <n v="4.5149999999999997"/>
    <d v="1899-12-31T12:07:12"/>
    <n v="44727"/>
    <s v="Rách"/>
    <n v="344032.5"/>
    <x v="2"/>
    <n v="0"/>
    <n v="0"/>
    <x v="2"/>
    <x v="0"/>
  </r>
  <r>
    <x v="0"/>
    <x v="11"/>
    <n v="44561"/>
    <x v="0"/>
    <x v="0"/>
    <x v="18"/>
    <x v="2"/>
    <x v="151"/>
    <s v="Bánh Mandu Thịt và Bắp CJ Bibigo - Gói 1.505Kg - Thùng 9,03Kg"/>
    <s v="Gói"/>
    <n v="7"/>
    <n v="10.535"/>
    <d v="1899-12-31T12:07:12"/>
    <n v="44845"/>
    <s v="Rách"/>
    <n v="802742.5"/>
    <x v="2"/>
    <n v="0"/>
    <n v="0"/>
    <x v="2"/>
    <x v="0"/>
  </r>
  <r>
    <x v="0"/>
    <x v="11"/>
    <n v="44561"/>
    <x v="0"/>
    <x v="0"/>
    <x v="18"/>
    <x v="2"/>
    <x v="151"/>
    <s v="Bánh Mandu Thịt và Bắp CJ Bibigo - Gói 1.505Kg - Thùng 9,03Kg"/>
    <s v="Gói"/>
    <n v="5"/>
    <n v="7.5250000000000004"/>
    <d v="1899-12-31T12:07:12"/>
    <n v="44887"/>
    <s v="Rách"/>
    <n v="573387.5"/>
    <x v="2"/>
    <n v="0"/>
    <n v="0"/>
    <x v="2"/>
    <x v="0"/>
  </r>
  <r>
    <x v="0"/>
    <x v="11"/>
    <n v="44561"/>
    <x v="0"/>
    <x v="0"/>
    <x v="18"/>
    <x v="2"/>
    <x v="144"/>
    <s v="Bánh Mandu Hải Sản CJ Bibigo - Gói 1.505Kg - Thùng 9,03Kg"/>
    <s v="Gói"/>
    <n v="1"/>
    <n v="1.5049999999999999"/>
    <d v="1899-12-31T12:07:12"/>
    <n v="44622"/>
    <s v="Rách"/>
    <n v="114677.5"/>
    <x v="2"/>
    <n v="0"/>
    <n v="0"/>
    <x v="2"/>
    <x v="0"/>
  </r>
  <r>
    <x v="0"/>
    <x v="11"/>
    <n v="44561"/>
    <x v="0"/>
    <x v="0"/>
    <x v="18"/>
    <x v="2"/>
    <x v="144"/>
    <s v="Bánh Mandu Hải Sản CJ Bibigo - Gói 1.505Kg - Thùng 9,03Kg"/>
    <s v="Gói"/>
    <n v="33"/>
    <n v="49.664999999999999"/>
    <d v="1899-12-31T12:07:12"/>
    <n v="44622"/>
    <s v="Hàng thu hồi không đạt của NPP Lê Thị Phụng"/>
    <n v="3784357.5"/>
    <x v="0"/>
    <n v="33"/>
    <n v="3784357.5"/>
    <x v="2"/>
    <x v="0"/>
  </r>
  <r>
    <x v="0"/>
    <x v="11"/>
    <n v="44561"/>
    <x v="0"/>
    <x v="0"/>
    <x v="18"/>
    <x v="2"/>
    <x v="144"/>
    <s v="Bánh Mandu Hải Sản CJ Bibigo - Gói 1.505Kg - Thùng 9,03Kg"/>
    <s v="Gói"/>
    <n v="64"/>
    <n v="96.32"/>
    <d v="1899-12-31T12:07:12"/>
    <n v="44595"/>
    <s v="HTX TM- DV Phường 1- TP Mỹ Tho TRẢ VỀ HÀNG KHÔNG ĐẠT"/>
    <n v="7339360"/>
    <x v="0"/>
    <n v="64"/>
    <n v="7339360"/>
    <x v="2"/>
    <x v="0"/>
  </r>
  <r>
    <x v="0"/>
    <x v="11"/>
    <n v="44561"/>
    <x v="0"/>
    <x v="0"/>
    <x v="18"/>
    <x v="2"/>
    <x v="144"/>
    <s v="Bánh Mandu Hải Sản CJ Bibigo - Gói 1.505Kg - Thùng 9,03Kg"/>
    <s v="Gói"/>
    <n v="158"/>
    <n v="237.79"/>
    <d v="1899-12-31T12:07:12"/>
    <n v="44682"/>
    <s v="Hàng thu hồi không đạt của NPP Lê Thị Phụng"/>
    <n v="18119045"/>
    <x v="0"/>
    <n v="158"/>
    <n v="18119045"/>
    <x v="2"/>
    <x v="0"/>
  </r>
  <r>
    <x v="0"/>
    <x v="11"/>
    <n v="44561"/>
    <x v="0"/>
    <x v="0"/>
    <x v="18"/>
    <x v="2"/>
    <x v="144"/>
    <s v="Bánh Mandu Hải Sản CJ Bibigo - Gói 1.505Kg - Thùng 9,03Kg"/>
    <s v="Gói"/>
    <n v="5"/>
    <n v="7.5250000000000004"/>
    <d v="1899-12-31T12:07:12"/>
    <n v="44682"/>
    <s v="NPP trả về không đạt"/>
    <n v="573387.5"/>
    <x v="2"/>
    <n v="0"/>
    <n v="0"/>
    <x v="2"/>
    <x v="0"/>
  </r>
  <r>
    <x v="0"/>
    <x v="11"/>
    <n v="44561"/>
    <x v="0"/>
    <x v="0"/>
    <x v="18"/>
    <x v="2"/>
    <x v="106"/>
    <s v="Bánh Mini Mandu Thịt CJ Bibigo - gói 1.505kg- Thùng 9,03 kg"/>
    <s v="Gói"/>
    <n v="2"/>
    <n v="3.01"/>
    <d v="1899-12-31T12:07:12"/>
    <n v="44645"/>
    <s v="Rách"/>
    <n v="244555"/>
    <x v="2"/>
    <n v="0"/>
    <n v="0"/>
    <x v="2"/>
    <x v="0"/>
  </r>
  <r>
    <x v="0"/>
    <x v="11"/>
    <n v="44561"/>
    <x v="6"/>
    <x v="0"/>
    <x v="8"/>
    <x v="2"/>
    <x v="166"/>
    <s v="Ohya Bánh cuộn xúc xích phô mai 195g/gói"/>
    <s v="Gói"/>
    <n v="2"/>
    <n v="0.39"/>
    <d v="1899-12-30T04:40:48"/>
    <n v="44691"/>
    <s v="Rách"/>
    <n v="43545"/>
    <x v="2"/>
    <n v="0"/>
    <n v="0"/>
    <x v="2"/>
    <x v="0"/>
  </r>
  <r>
    <x v="0"/>
    <x v="11"/>
    <n v="44561"/>
    <x v="5"/>
    <x v="0"/>
    <x v="16"/>
    <x v="2"/>
    <x v="27"/>
    <s v="Bò viên ngon Cầu Tre 500gr"/>
    <s v="Gói"/>
    <n v="1"/>
    <n v="0.5"/>
    <d v="1899-12-30T12:00:00"/>
    <n v="44860"/>
    <s v="Xì"/>
    <n v="42550.0075"/>
    <x v="0"/>
    <n v="1"/>
    <n v="42550.0075"/>
    <x v="2"/>
    <x v="0"/>
  </r>
  <r>
    <x v="0"/>
    <x v="11"/>
    <n v="44561"/>
    <x v="5"/>
    <x v="0"/>
    <x v="16"/>
    <x v="2"/>
    <x v="27"/>
    <s v="Bò viên ngon Cầu Tre 500gr"/>
    <s v="Gói"/>
    <n v="1"/>
    <n v="0.5"/>
    <d v="1899-12-30T12:00:00"/>
    <n v="44868"/>
    <s v="Rách"/>
    <n v="42550.0075"/>
    <x v="0"/>
    <n v="1"/>
    <n v="42550.0075"/>
    <x v="2"/>
    <x v="0"/>
  </r>
  <r>
    <x v="0"/>
    <x v="11"/>
    <n v="44561"/>
    <x v="0"/>
    <x v="0"/>
    <x v="18"/>
    <x v="2"/>
    <x v="168"/>
    <s v="Bánh Mandu Thịt CJ Bibigo – Gói 175g"/>
    <s v="Gói"/>
    <n v="3"/>
    <n v="0.52499999999999991"/>
    <d v="1899-12-30T04:12:00"/>
    <n v="44762"/>
    <s v="Rách"/>
    <n v="40387.502099999998"/>
    <x v="0"/>
    <n v="3"/>
    <n v="40387.502099999998"/>
    <x v="2"/>
    <x v="0"/>
  </r>
  <r>
    <x v="0"/>
    <x v="11"/>
    <n v="44561"/>
    <x v="0"/>
    <x v="0"/>
    <x v="18"/>
    <x v="2"/>
    <x v="168"/>
    <s v="Bánh Mandu Thịt CJ Bibigo – Gói 175g"/>
    <s v="Gói"/>
    <n v="2"/>
    <n v="0.35"/>
    <d v="1899-12-30T04:12:00"/>
    <n v="44789"/>
    <s v="Rách"/>
    <n v="26925.001400000001"/>
    <x v="0"/>
    <n v="2"/>
    <n v="26925.001400000001"/>
    <x v="2"/>
    <x v="0"/>
  </r>
  <r>
    <x v="0"/>
    <x v="11"/>
    <n v="44561"/>
    <x v="0"/>
    <x v="0"/>
    <x v="18"/>
    <x v="2"/>
    <x v="88"/>
    <s v="Bánh Mandu Thịt CJ Bibigo – Gói 350g"/>
    <s v="Gói"/>
    <n v="1"/>
    <n v="0.35"/>
    <d v="1899-12-30T08:24:00"/>
    <n v="44811"/>
    <s v="Rách"/>
    <n v="27424.990600000001"/>
    <x v="0"/>
    <n v="1"/>
    <n v="27424.990600000001"/>
    <x v="2"/>
    <x v="0"/>
  </r>
  <r>
    <x v="0"/>
    <x v="11"/>
    <n v="44561"/>
    <x v="0"/>
    <x v="0"/>
    <x v="18"/>
    <x v="2"/>
    <x v="246"/>
    <s v="Bánh Mandu Thịt và Bắp CJ Bibigo – Gói 175g"/>
    <s v="Gói"/>
    <n v="1"/>
    <n v="0.17499999999999999"/>
    <d v="1899-12-30T04:12:00"/>
    <n v="44811"/>
    <s v="Rách"/>
    <n v="15762.810100000001"/>
    <x v="0"/>
    <n v="1"/>
    <n v="15762.810100000001"/>
    <x v="2"/>
    <x v="0"/>
  </r>
  <r>
    <x v="0"/>
    <x v="11"/>
    <n v="44561"/>
    <x v="0"/>
    <x v="0"/>
    <x v="18"/>
    <x v="2"/>
    <x v="111"/>
    <s v="Bánh Mandu Thịt và Bắp CJ Bibigo – Gói 350g"/>
    <s v="Gói"/>
    <n v="38"/>
    <n v="13.3"/>
    <d v="1899-12-30T08:24:00"/>
    <n v="44631"/>
    <s v="HÀNG TRẢ NPP THÁI TUẤN KHÔNG ĐẠT"/>
    <n v="1076350.095"/>
    <x v="0"/>
    <n v="38"/>
    <n v="1076350.095"/>
    <x v="2"/>
    <x v="0"/>
  </r>
  <r>
    <x v="0"/>
    <x v="11"/>
    <n v="44561"/>
    <x v="0"/>
    <x v="0"/>
    <x v="18"/>
    <x v="2"/>
    <x v="111"/>
    <s v="Bánh Mandu Thịt và Bắp CJ Bibigo – Gói 350g"/>
    <s v="Gói"/>
    <n v="1"/>
    <n v="0.35"/>
    <d v="1899-12-30T08:24:00"/>
    <n v="44671"/>
    <s v="Rách"/>
    <n v="28325.002499999999"/>
    <x v="0"/>
    <n v="1"/>
    <n v="28325.002499999999"/>
    <x v="2"/>
    <x v="0"/>
  </r>
  <r>
    <x v="0"/>
    <x v="11"/>
    <n v="44561"/>
    <x v="0"/>
    <x v="0"/>
    <x v="18"/>
    <x v="2"/>
    <x v="111"/>
    <s v="Bánh Mandu Thịt và Bắp CJ Bibigo – Gói 350g"/>
    <s v="Gói"/>
    <n v="1"/>
    <n v="0.35"/>
    <d v="1899-12-30T08:24:00"/>
    <n v="44727"/>
    <s v="Rách"/>
    <n v="28325.002499999999"/>
    <x v="0"/>
    <n v="1"/>
    <n v="28325.002499999999"/>
    <x v="2"/>
    <x v="0"/>
  </r>
  <r>
    <x v="0"/>
    <x v="11"/>
    <n v="44561"/>
    <x v="0"/>
    <x v="0"/>
    <x v="18"/>
    <x v="2"/>
    <x v="111"/>
    <s v="Bánh Mandu Thịt và Bắp CJ Bibigo – Gói 350g"/>
    <s v="Gói"/>
    <n v="1"/>
    <n v="0.35"/>
    <d v="1899-12-30T08:24:00"/>
    <n v="44812"/>
    <s v="Rách"/>
    <n v="28325.002499999999"/>
    <x v="0"/>
    <n v="1"/>
    <n v="28325.002499999999"/>
    <x v="2"/>
    <x v="0"/>
  </r>
  <r>
    <x v="0"/>
    <x v="11"/>
    <n v="44561"/>
    <x v="0"/>
    <x v="0"/>
    <x v="18"/>
    <x v="2"/>
    <x v="129"/>
    <s v="Bánh Mandu Hải Sản CJ Bibigo – Gói 175g"/>
    <s v="Gói"/>
    <n v="1"/>
    <n v="0.17499999999999999"/>
    <d v="1899-12-30T04:12:00"/>
    <n v="44630"/>
    <s v="Rách"/>
    <n v="15162.510700000001"/>
    <x v="0"/>
    <n v="1"/>
    <n v="15162.510700000001"/>
    <x v="2"/>
    <x v="0"/>
  </r>
  <r>
    <x v="0"/>
    <x v="11"/>
    <n v="44561"/>
    <x v="0"/>
    <x v="0"/>
    <x v="18"/>
    <x v="2"/>
    <x v="129"/>
    <s v="Bánh Mandu Hải Sản CJ Bibigo – Gói 175g"/>
    <s v="Gói"/>
    <n v="1"/>
    <n v="0.17499999999999999"/>
    <d v="1899-12-30T04:12:00"/>
    <n v="44764"/>
    <s v="Rách"/>
    <n v="15162.510700000001"/>
    <x v="0"/>
    <n v="1"/>
    <n v="15162.510700000001"/>
    <x v="2"/>
    <x v="0"/>
  </r>
  <r>
    <x v="0"/>
    <x v="11"/>
    <n v="44561"/>
    <x v="0"/>
    <x v="0"/>
    <x v="18"/>
    <x v="2"/>
    <x v="129"/>
    <s v="Bánh Mandu Hải Sản CJ Bibigo – Gói 175g"/>
    <s v="Gói"/>
    <n v="2"/>
    <n v="0.35"/>
    <d v="1899-12-30T04:12:00"/>
    <n v="44790"/>
    <s v="Rách"/>
    <n v="30325.021400000001"/>
    <x v="0"/>
    <n v="2"/>
    <n v="30325.021400000001"/>
    <x v="2"/>
    <x v="0"/>
  </r>
  <r>
    <x v="0"/>
    <x v="11"/>
    <n v="44561"/>
    <x v="0"/>
    <x v="0"/>
    <x v="18"/>
    <x v="2"/>
    <x v="129"/>
    <s v="Bánh Mandu Hải Sản CJ Bibigo – Gói 175g"/>
    <s v="Gói"/>
    <n v="1"/>
    <n v="0.17499999999999999"/>
    <d v="1899-12-30T04:12:00"/>
    <n v="44791"/>
    <s v="Rách"/>
    <n v="15162.510700000001"/>
    <x v="0"/>
    <n v="1"/>
    <n v="15162.510700000001"/>
    <x v="2"/>
    <x v="0"/>
  </r>
  <r>
    <x v="0"/>
    <x v="11"/>
    <n v="44561"/>
    <x v="0"/>
    <x v="0"/>
    <x v="18"/>
    <x v="2"/>
    <x v="129"/>
    <s v="Bánh Mandu Hải Sản CJ Bibigo – Gói 175g"/>
    <s v="Gói"/>
    <n v="2"/>
    <n v="0.35"/>
    <d v="1899-12-30T04:12:00"/>
    <n v="44813"/>
    <s v="Rách"/>
    <n v="30325.021400000001"/>
    <x v="0"/>
    <n v="2"/>
    <n v="30325.021400000001"/>
    <x v="2"/>
    <x v="0"/>
  </r>
  <r>
    <x v="0"/>
    <x v="11"/>
    <n v="44561"/>
    <x v="0"/>
    <x v="0"/>
    <x v="18"/>
    <x v="2"/>
    <x v="129"/>
    <s v="Bánh Mandu Hải Sản CJ Bibigo – Gói 175g"/>
    <s v="Gói"/>
    <n v="5"/>
    <n v="0.875"/>
    <d v="1899-12-30T04:12:00"/>
    <n v="44846"/>
    <s v="Rách"/>
    <n v="75812.553500000009"/>
    <x v="0"/>
    <n v="5"/>
    <n v="75812.553500000009"/>
    <x v="2"/>
    <x v="0"/>
  </r>
  <r>
    <x v="0"/>
    <x v="11"/>
    <n v="44561"/>
    <x v="0"/>
    <x v="0"/>
    <x v="18"/>
    <x v="2"/>
    <x v="129"/>
    <s v="Bánh Mandu Hải Sản CJ Bibigo – Gói 175g"/>
    <s v="Gói"/>
    <n v="10"/>
    <n v="1.75"/>
    <d v="1899-12-30T04:12:00"/>
    <n v="44845"/>
    <s v="Rách"/>
    <n v="151625.10700000002"/>
    <x v="0"/>
    <n v="10"/>
    <n v="151625.10700000002"/>
    <x v="2"/>
    <x v="0"/>
  </r>
  <r>
    <x v="0"/>
    <x v="11"/>
    <n v="44561"/>
    <x v="0"/>
    <x v="0"/>
    <x v="18"/>
    <x v="2"/>
    <x v="114"/>
    <s v="Bánh Mandu Hải Sản CJ Bibigo – Gói 350g"/>
    <s v="Gói"/>
    <n v="1"/>
    <n v="0.35"/>
    <d v="1899-12-30T08:24:00"/>
    <n v="44813"/>
    <s v="Rách"/>
    <n v="28725.003199999999"/>
    <x v="0"/>
    <n v="1"/>
    <n v="28725.003199999999"/>
    <x v="2"/>
    <x v="0"/>
  </r>
  <r>
    <x v="0"/>
    <x v="11"/>
    <n v="44561"/>
    <x v="0"/>
    <x v="0"/>
    <x v="18"/>
    <x v="2"/>
    <x v="114"/>
    <s v="Bánh Mandu Hải Sản CJ Bibigo – Gói 350g"/>
    <s v="Gói"/>
    <n v="1"/>
    <n v="0.35"/>
    <d v="1899-12-30T08:24:00"/>
    <n v="44781"/>
    <s v="Rách"/>
    <n v="28725.003199999999"/>
    <x v="0"/>
    <n v="1"/>
    <n v="28725.003199999999"/>
    <x v="2"/>
    <x v="0"/>
  </r>
  <r>
    <x v="0"/>
    <x v="11"/>
    <n v="44561"/>
    <x v="0"/>
    <x v="0"/>
    <x v="18"/>
    <x v="2"/>
    <x v="146"/>
    <s v="Bánh Mandu Hải Sản CJ Bibigo – Gói 350g (GT)"/>
    <s v="Gói"/>
    <n v="1"/>
    <n v="0.35"/>
    <d v="1899-12-30T08:24:00"/>
    <n v="44846"/>
    <s v="Rách"/>
    <n v="27625"/>
    <x v="0"/>
    <n v="1"/>
    <n v="27625"/>
    <x v="2"/>
    <x v="0"/>
  </r>
  <r>
    <x v="0"/>
    <x v="11"/>
    <n v="44561"/>
    <x v="1"/>
    <x v="0"/>
    <x v="26"/>
    <x v="2"/>
    <x v="334"/>
    <s v="CJ Cautre I’m Rice Cơm chiên Kimchi Khay 150g"/>
    <s v="Khay"/>
    <n v="3"/>
    <n v="0.45"/>
    <d v="1899-12-30T03:36:00"/>
    <n v="44817"/>
    <s v="Rách"/>
    <n v="32775.003299999997"/>
    <x v="0"/>
    <n v="3"/>
    <n v="32775.003299999997"/>
    <x v="2"/>
    <x v="0"/>
  </r>
  <r>
    <x v="0"/>
    <x v="11"/>
    <n v="44561"/>
    <x v="1"/>
    <x v="0"/>
    <x v="26"/>
    <x v="2"/>
    <x v="334"/>
    <s v="CJ Cautre I’m Rice Cơm chiên Kimchi Khay 150g"/>
    <s v="Khay"/>
    <n v="6"/>
    <n v="0.8999999999999998"/>
    <d v="1899-12-30T03:36:00"/>
    <n v="44878"/>
    <s v="Rách"/>
    <n v="65550.006599999993"/>
    <x v="0"/>
    <n v="6"/>
    <n v="65550.006599999993"/>
    <x v="2"/>
    <x v="0"/>
  </r>
  <r>
    <x v="0"/>
    <x v="11"/>
    <n v="44561"/>
    <x v="1"/>
    <x v="0"/>
    <x v="26"/>
    <x v="2"/>
    <x v="334"/>
    <s v="CJ Cautre I’m Rice Cơm chiên Kimchi Khay 150g"/>
    <s v="Khay"/>
    <n v="1"/>
    <n v="0.15"/>
    <d v="1899-12-30T03:36:00"/>
    <n v="44897"/>
    <s v="Rách"/>
    <n v="10925.001099999999"/>
    <x v="0"/>
    <n v="1"/>
    <n v="10925.001099999999"/>
    <x v="2"/>
    <x v="0"/>
  </r>
  <r>
    <x v="0"/>
    <x v="11"/>
    <n v="44561"/>
    <x v="1"/>
    <x v="0"/>
    <x v="26"/>
    <x v="2"/>
    <x v="334"/>
    <s v="CJ Cautre I’m Rice Cơm chiên Kimchi Khay 150g"/>
    <s v="Khay"/>
    <n v="1"/>
    <n v="0.15"/>
    <d v="1899-12-30T03:36:00"/>
    <n v="44825"/>
    <s v="Rách"/>
    <n v="10925.001099999999"/>
    <x v="0"/>
    <n v="1"/>
    <n v="10925.001099999999"/>
    <x v="2"/>
    <x v="0"/>
  </r>
  <r>
    <x v="0"/>
    <x v="11"/>
    <n v="44561"/>
    <x v="1"/>
    <x v="0"/>
    <x v="26"/>
    <x v="2"/>
    <x v="334"/>
    <s v="CJ Cautre I’m Rice Cơm chiên Kimchi Khay 150g"/>
    <s v="Khay"/>
    <n v="1"/>
    <n v="0.15"/>
    <d v="1899-12-30T03:36:00"/>
    <n v="44835"/>
    <s v="Rách"/>
    <n v="10925.001099999999"/>
    <x v="0"/>
    <n v="1"/>
    <n v="10925.001099999999"/>
    <x v="2"/>
    <x v="0"/>
  </r>
  <r>
    <x v="0"/>
    <x v="11"/>
    <n v="44561"/>
    <x v="1"/>
    <x v="0"/>
    <x v="26"/>
    <x v="2"/>
    <x v="334"/>
    <s v="CJ Cautre I’m Rice Cơm chiên Kimchi Khay 150g"/>
    <s v="Khay"/>
    <n v="3"/>
    <n v="0.45"/>
    <d v="1899-12-30T03:36:00"/>
    <n v="44847"/>
    <s v="Rách"/>
    <n v="32775.003299999997"/>
    <x v="0"/>
    <n v="3"/>
    <n v="32775.003299999997"/>
    <x v="2"/>
    <x v="0"/>
  </r>
  <r>
    <x v="0"/>
    <x v="11"/>
    <n v="44561"/>
    <x v="1"/>
    <x v="0"/>
    <x v="26"/>
    <x v="2"/>
    <x v="334"/>
    <s v="CJ Cautre I’m Rice Cơm chiên Kimchi Khay 150g"/>
    <s v="Khay"/>
    <n v="2"/>
    <n v="0.3"/>
    <d v="1899-12-30T03:36:00"/>
    <n v="44842"/>
    <s v="Rách"/>
    <n v="21850.002199999999"/>
    <x v="0"/>
    <n v="2"/>
    <n v="21850.002199999999"/>
    <x v="2"/>
    <x v="0"/>
  </r>
  <r>
    <x v="0"/>
    <x v="11"/>
    <n v="44561"/>
    <x v="1"/>
    <x v="0"/>
    <x v="26"/>
    <x v="2"/>
    <x v="334"/>
    <s v="CJ Cautre I’m Rice Cơm chiên Kimchi Khay 150g"/>
    <s v="Khay"/>
    <n v="1"/>
    <n v="0.15"/>
    <d v="1899-12-30T03:36:00"/>
    <n v="44852"/>
    <s v="Rách"/>
    <n v="10925.001099999999"/>
    <x v="0"/>
    <n v="1"/>
    <n v="10925.001099999999"/>
    <x v="2"/>
    <x v="0"/>
  </r>
  <r>
    <x v="0"/>
    <x v="11"/>
    <n v="44561"/>
    <x v="1"/>
    <x v="0"/>
    <x v="26"/>
    <x v="2"/>
    <x v="334"/>
    <s v="CJ Cautre I’m Rice Cơm chiên Kimchi Khay 150g"/>
    <s v="Khay"/>
    <n v="4"/>
    <n v="0.6"/>
    <d v="1899-12-30T03:36:00"/>
    <n v="44864"/>
    <s v="Rách"/>
    <n v="43700.004399999998"/>
    <x v="0"/>
    <n v="4"/>
    <n v="43700.004399999998"/>
    <x v="2"/>
    <x v="0"/>
  </r>
  <r>
    <x v="0"/>
    <x v="11"/>
    <n v="44561"/>
    <x v="1"/>
    <x v="0"/>
    <x v="26"/>
    <x v="2"/>
    <x v="334"/>
    <s v="CJ Cautre I’m Rice Cơm chiên Kimchi Khay 150g"/>
    <s v="Khay"/>
    <n v="1"/>
    <n v="0.15"/>
    <d v="1899-12-30T03:36:00"/>
    <n v="44863"/>
    <s v="Rách"/>
    <n v="10925.001099999999"/>
    <x v="0"/>
    <n v="1"/>
    <n v="10925.001099999999"/>
    <x v="2"/>
    <x v="0"/>
  </r>
  <r>
    <x v="0"/>
    <x v="11"/>
    <n v="44561"/>
    <x v="1"/>
    <x v="0"/>
    <x v="26"/>
    <x v="2"/>
    <x v="334"/>
    <s v="CJ Cautre I’m Rice Cơm chiên Kimchi Khay 150g"/>
    <s v="Khay"/>
    <n v="1"/>
    <n v="0.15"/>
    <d v="1899-12-30T03:36:00"/>
    <n v="44865"/>
    <s v="Rách"/>
    <n v="10925.001099999999"/>
    <x v="0"/>
    <n v="1"/>
    <n v="10925.001099999999"/>
    <x v="2"/>
    <x v="0"/>
  </r>
  <r>
    <x v="0"/>
    <x v="11"/>
    <n v="44561"/>
    <x v="1"/>
    <x v="0"/>
    <x v="26"/>
    <x v="2"/>
    <x v="334"/>
    <s v="CJ Cautre I’m Rice Cơm chiên Kimchi Khay 150g"/>
    <s v="Khay"/>
    <n v="4"/>
    <n v="0.6"/>
    <d v="1899-12-30T03:36:00"/>
    <n v="44868"/>
    <s v="Rách"/>
    <n v="43700.004399999998"/>
    <x v="0"/>
    <n v="4"/>
    <n v="43700.004399999998"/>
    <x v="2"/>
    <x v="0"/>
  </r>
  <r>
    <x v="0"/>
    <x v="11"/>
    <n v="44561"/>
    <x v="1"/>
    <x v="0"/>
    <x v="41"/>
    <x v="2"/>
    <x v="333"/>
    <s v="CJ Cautre I’m Rice Cơm chiên Hải Sản Khay 150g"/>
    <s v="Khay"/>
    <n v="1"/>
    <n v="0.15"/>
    <d v="1899-12-30T03:36:00"/>
    <n v="44726"/>
    <s v="Rách"/>
    <n v="11425.065500000001"/>
    <x v="0"/>
    <n v="1"/>
    <n v="11425.065500000001"/>
    <x v="2"/>
    <x v="0"/>
  </r>
  <r>
    <x v="0"/>
    <x v="11"/>
    <n v="44561"/>
    <x v="1"/>
    <x v="0"/>
    <x v="41"/>
    <x v="2"/>
    <x v="333"/>
    <s v="CJ Cautre I’m Rice Cơm chiên Hải Sản Khay 150g"/>
    <s v="Khay"/>
    <n v="2"/>
    <n v="0.3"/>
    <d v="1899-12-30T03:36:00"/>
    <n v="44876"/>
    <s v="Rách"/>
    <n v="22850.131000000001"/>
    <x v="0"/>
    <n v="2"/>
    <n v="22850.131000000001"/>
    <x v="2"/>
    <x v="0"/>
  </r>
  <r>
    <x v="0"/>
    <x v="11"/>
    <n v="44561"/>
    <x v="1"/>
    <x v="0"/>
    <x v="41"/>
    <x v="2"/>
    <x v="333"/>
    <s v="CJ Cautre I’m Rice Cơm chiên Hải Sản Khay 150g"/>
    <s v="Khay"/>
    <n v="1"/>
    <n v="0.15"/>
    <d v="1899-12-30T03:36:00"/>
    <n v="44881"/>
    <s v="Rách"/>
    <n v="11425.065500000001"/>
    <x v="0"/>
    <n v="1"/>
    <n v="11425.065500000001"/>
    <x v="2"/>
    <x v="0"/>
  </r>
  <r>
    <x v="0"/>
    <x v="11"/>
    <n v="44561"/>
    <x v="1"/>
    <x v="0"/>
    <x v="41"/>
    <x v="2"/>
    <x v="333"/>
    <s v="CJ Cautre I’m Rice Cơm chiên Hải Sản Khay 150g"/>
    <s v="Khay"/>
    <n v="3"/>
    <n v="0.45"/>
    <d v="1899-12-30T03:36:00"/>
    <n v="44888"/>
    <s v="Rách"/>
    <n v="34275.196499999998"/>
    <x v="0"/>
    <n v="3"/>
    <n v="34275.196499999998"/>
    <x v="2"/>
    <x v="0"/>
  </r>
  <r>
    <x v="0"/>
    <x v="11"/>
    <n v="44561"/>
    <x v="1"/>
    <x v="0"/>
    <x v="41"/>
    <x v="2"/>
    <x v="333"/>
    <s v="CJ Cautre I’m Rice Cơm chiên Hải Sản Khay 150g"/>
    <s v="Khay"/>
    <n v="5"/>
    <n v="0.75"/>
    <d v="1899-12-30T03:36:00"/>
    <n v="44906"/>
    <s v="Rách"/>
    <n v="57125.327499999999"/>
    <x v="0"/>
    <n v="5"/>
    <n v="57125.327499999999"/>
    <x v="2"/>
    <x v="0"/>
  </r>
  <r>
    <x v="0"/>
    <x v="11"/>
    <n v="44561"/>
    <x v="1"/>
    <x v="0"/>
    <x v="41"/>
    <x v="2"/>
    <x v="333"/>
    <s v="CJ Cautre I’m Rice Cơm chiên Hải Sản Khay 150g"/>
    <s v="Khay"/>
    <n v="3"/>
    <n v="0.45"/>
    <d v="1899-12-30T03:36:00"/>
    <n v="44873"/>
    <s v="Rách"/>
    <n v="34275.196499999998"/>
    <x v="0"/>
    <n v="3"/>
    <n v="34275.196499999998"/>
    <x v="2"/>
    <x v="0"/>
  </r>
  <r>
    <x v="0"/>
    <x v="11"/>
    <n v="44561"/>
    <x v="1"/>
    <x v="0"/>
    <x v="41"/>
    <x v="2"/>
    <x v="333"/>
    <s v="CJ Cautre I’m Rice Cơm chiên Hải Sản Khay 150g"/>
    <s v="Khay"/>
    <n v="2"/>
    <n v="0.3"/>
    <d v="1899-12-30T03:36:00"/>
    <n v="44833"/>
    <s v="Rách"/>
    <n v="22850.131000000001"/>
    <x v="0"/>
    <n v="2"/>
    <n v="22850.131000000001"/>
    <x v="2"/>
    <x v="0"/>
  </r>
  <r>
    <x v="0"/>
    <x v="11"/>
    <n v="44561"/>
    <x v="1"/>
    <x v="0"/>
    <x v="41"/>
    <x v="2"/>
    <x v="333"/>
    <s v="CJ Cautre I’m Rice Cơm chiên Hải Sản Khay 150g"/>
    <s v="Khay"/>
    <n v="9"/>
    <n v="1.35"/>
    <d v="1899-12-30T03:36:00"/>
    <n v="44870"/>
    <s v="Rách"/>
    <n v="102825.5895"/>
    <x v="0"/>
    <n v="9"/>
    <n v="102825.5895"/>
    <x v="2"/>
    <x v="0"/>
  </r>
  <r>
    <x v="0"/>
    <x v="11"/>
    <n v="44561"/>
    <x v="1"/>
    <x v="0"/>
    <x v="41"/>
    <x v="2"/>
    <x v="333"/>
    <s v="CJ Cautre I’m Rice Cơm chiên Hải Sản Khay 150g"/>
    <s v="Khay"/>
    <n v="14"/>
    <n v="2.1"/>
    <d v="1899-12-30T03:36:00"/>
    <n v="44871"/>
    <s v="Rách"/>
    <n v="159950.91700000002"/>
    <x v="0"/>
    <n v="14"/>
    <n v="159950.91700000002"/>
    <x v="2"/>
    <x v="0"/>
  </r>
  <r>
    <x v="0"/>
    <x v="11"/>
    <n v="44561"/>
    <x v="1"/>
    <x v="0"/>
    <x v="41"/>
    <x v="2"/>
    <x v="333"/>
    <s v="CJ Cautre I’m Rice Cơm chiên Hải Sản Khay 150g"/>
    <s v="Khay"/>
    <n v="5"/>
    <n v="0.75"/>
    <d v="1899-12-30T03:36:00"/>
    <n v="44869"/>
    <s v="Rách"/>
    <n v="57125.327499999999"/>
    <x v="0"/>
    <n v="5"/>
    <n v="57125.327499999999"/>
    <x v="2"/>
    <x v="0"/>
  </r>
  <r>
    <x v="0"/>
    <x v="11"/>
    <n v="44561"/>
    <x v="1"/>
    <x v="0"/>
    <x v="41"/>
    <x v="2"/>
    <x v="333"/>
    <s v="CJ Cautre I’m Rice Cơm chiên Hải Sản Khay 150g"/>
    <s v="Khay"/>
    <n v="10"/>
    <n v="1.5"/>
    <d v="1899-12-30T03:36:00"/>
    <n v="44875"/>
    <s v="Rách"/>
    <n v="114250.655"/>
    <x v="0"/>
    <n v="10"/>
    <n v="114250.655"/>
    <x v="2"/>
    <x v="0"/>
  </r>
  <r>
    <x v="0"/>
    <x v="11"/>
    <n v="44561"/>
    <x v="1"/>
    <x v="0"/>
    <x v="41"/>
    <x v="2"/>
    <x v="333"/>
    <s v="CJ Cautre I’m Rice Cơm chiên Hải Sản Khay 150g"/>
    <s v="Khay"/>
    <n v="4"/>
    <n v="0.6"/>
    <d v="1899-12-30T03:36:00"/>
    <n v="44887"/>
    <s v="Rách"/>
    <n v="45700.262000000002"/>
    <x v="0"/>
    <n v="4"/>
    <n v="45700.262000000002"/>
    <x v="2"/>
    <x v="0"/>
  </r>
  <r>
    <x v="0"/>
    <x v="11"/>
    <n v="44561"/>
    <x v="1"/>
    <x v="0"/>
    <x v="41"/>
    <x v="2"/>
    <x v="333"/>
    <s v="CJ Cautre I’m Rice Cơm chiên Hải Sản Khay 150g"/>
    <s v="Khay"/>
    <n v="1"/>
    <n v="0.15"/>
    <d v="1899-12-30T03:36:00"/>
    <n v="44882"/>
    <s v="Rách"/>
    <n v="11425.065500000001"/>
    <x v="0"/>
    <n v="1"/>
    <n v="11425.065500000001"/>
    <x v="2"/>
    <x v="0"/>
  </r>
  <r>
    <x v="0"/>
    <x v="11"/>
    <n v="44561"/>
    <x v="1"/>
    <x v="0"/>
    <x v="41"/>
    <x v="2"/>
    <x v="333"/>
    <s v="CJ Cautre I’m Rice Cơm chiên Hải Sản Khay 150g"/>
    <s v="Khay"/>
    <n v="9"/>
    <n v="1.35"/>
    <d v="1899-12-30T03:36:00"/>
    <n v="44885"/>
    <s v="Rách"/>
    <n v="102825.5895"/>
    <x v="0"/>
    <n v="9"/>
    <n v="102825.5895"/>
    <x v="2"/>
    <x v="0"/>
  </r>
  <r>
    <x v="0"/>
    <x v="11"/>
    <n v="44561"/>
    <x v="1"/>
    <x v="0"/>
    <x v="41"/>
    <x v="2"/>
    <x v="333"/>
    <s v="CJ Cautre I’m Rice Cơm chiên Hải Sản Khay 150g"/>
    <s v="Khay"/>
    <n v="4"/>
    <n v="0.6"/>
    <d v="1899-12-30T03:36:00"/>
    <n v="44883"/>
    <s v="Rách"/>
    <n v="45700.262000000002"/>
    <x v="0"/>
    <n v="4"/>
    <n v="45700.262000000002"/>
    <x v="2"/>
    <x v="0"/>
  </r>
  <r>
    <x v="0"/>
    <x v="11"/>
    <n v="44561"/>
    <x v="1"/>
    <x v="0"/>
    <x v="41"/>
    <x v="2"/>
    <x v="333"/>
    <s v="CJ Cautre I’m Rice Cơm chiên Hải Sản Khay 150g"/>
    <s v="Khay"/>
    <n v="4"/>
    <n v="0.6"/>
    <d v="1899-12-30T03:36:00"/>
    <n v="44584"/>
    <s v="Rách"/>
    <n v="45700.262000000002"/>
    <x v="0"/>
    <n v="4"/>
    <n v="45700.262000000002"/>
    <x v="2"/>
    <x v="0"/>
  </r>
  <r>
    <x v="0"/>
    <x v="11"/>
    <n v="44561"/>
    <x v="1"/>
    <x v="0"/>
    <x v="41"/>
    <x v="2"/>
    <x v="333"/>
    <s v="CJ Cautre I’m Rice Cơm chiên Hải Sản Khay 150g"/>
    <s v="Khay"/>
    <n v="2"/>
    <n v="0.3"/>
    <d v="1899-12-30T03:36:00"/>
    <n v="44884"/>
    <s v="Rách"/>
    <n v="22850.131000000001"/>
    <x v="0"/>
    <n v="2"/>
    <n v="22850.131000000001"/>
    <x v="2"/>
    <x v="0"/>
  </r>
  <r>
    <x v="0"/>
    <x v="11"/>
    <n v="44561"/>
    <x v="1"/>
    <x v="0"/>
    <x v="41"/>
    <x v="2"/>
    <x v="333"/>
    <s v="CJ Cautre I’m Rice Cơm chiên Hải Sản Khay 150g"/>
    <s v="Khay"/>
    <n v="1"/>
    <n v="0.15"/>
    <d v="1899-12-30T03:36:00"/>
    <n v="44896"/>
    <s v="Rách"/>
    <n v="11425.065500000001"/>
    <x v="0"/>
    <n v="1"/>
    <n v="11425.065500000001"/>
    <x v="2"/>
    <x v="0"/>
  </r>
  <r>
    <x v="0"/>
    <x v="11"/>
    <n v="44561"/>
    <x v="1"/>
    <x v="0"/>
    <x v="41"/>
    <x v="2"/>
    <x v="333"/>
    <s v="CJ Cautre I’m Rice Cơm chiên Hải Sản Khay 150g"/>
    <s v="Khay"/>
    <n v="5"/>
    <n v="0.75"/>
    <d v="1899-12-30T03:36:00"/>
    <n v="44895"/>
    <s v="Rách"/>
    <n v="57125.327499999999"/>
    <x v="0"/>
    <n v="5"/>
    <n v="57125.327499999999"/>
    <x v="2"/>
    <x v="0"/>
  </r>
  <r>
    <x v="0"/>
    <x v="11"/>
    <n v="44561"/>
    <x v="1"/>
    <x v="0"/>
    <x v="41"/>
    <x v="2"/>
    <x v="333"/>
    <s v="CJ Cautre I’m Rice Cơm chiên Hải Sản Khay 150g"/>
    <s v="Khay"/>
    <n v="8"/>
    <n v="1.2"/>
    <d v="1899-12-30T03:36:00"/>
    <n v="44894"/>
    <s v="Rách"/>
    <n v="91400.524000000005"/>
    <x v="0"/>
    <n v="8"/>
    <n v="91400.524000000005"/>
    <x v="2"/>
    <x v="0"/>
  </r>
  <r>
    <x v="0"/>
    <x v="11"/>
    <n v="44561"/>
    <x v="1"/>
    <x v="0"/>
    <x v="41"/>
    <x v="2"/>
    <x v="333"/>
    <s v="CJ Cautre I’m Rice Cơm chiên Hải Sản Khay 150g"/>
    <s v="Khay"/>
    <n v="1"/>
    <n v="0.15"/>
    <d v="1899-12-30T03:36:00"/>
    <n v="44881"/>
    <s v="Rách"/>
    <n v="11425.065500000001"/>
    <x v="0"/>
    <n v="1"/>
    <n v="11425.065500000001"/>
    <x v="2"/>
    <x v="0"/>
  </r>
  <r>
    <x v="0"/>
    <x v="11"/>
    <n v="44561"/>
    <x v="1"/>
    <x v="0"/>
    <x v="41"/>
    <x v="2"/>
    <x v="333"/>
    <s v="CJ Cautre I’m Rice Cơm chiên Hải Sản Khay 150g"/>
    <s v="Khay"/>
    <n v="3"/>
    <n v="0.45"/>
    <d v="1899-12-30T03:36:00"/>
    <n v="44904"/>
    <s v="Rách"/>
    <n v="34275.196499999998"/>
    <x v="0"/>
    <n v="3"/>
    <n v="34275.196499999998"/>
    <x v="2"/>
    <x v="0"/>
  </r>
  <r>
    <x v="0"/>
    <x v="11"/>
    <n v="44561"/>
    <x v="1"/>
    <x v="0"/>
    <x v="41"/>
    <x v="2"/>
    <x v="333"/>
    <s v="CJ Cautre I’m Rice Cơm chiên Hải Sản Khay 150g"/>
    <s v="Khay"/>
    <n v="1"/>
    <n v="0.15"/>
    <d v="1899-12-30T03:36:00"/>
    <n v="44909"/>
    <s v="Rách"/>
    <n v="11425.065500000001"/>
    <x v="0"/>
    <n v="1"/>
    <n v="11425.065500000001"/>
    <x v="2"/>
    <x v="0"/>
  </r>
  <r>
    <x v="0"/>
    <x v="11"/>
    <n v="44561"/>
    <x v="1"/>
    <x v="0"/>
    <x v="41"/>
    <x v="2"/>
    <x v="333"/>
    <s v="CJ Cautre I’m Rice Cơm chiên Hải Sản Khay 150g"/>
    <s v="Khay"/>
    <n v="1"/>
    <n v="0.15"/>
    <d v="1899-12-30T03:36:00"/>
    <n v="44910"/>
    <s v="Rách"/>
    <n v="11425.065500000001"/>
    <x v="0"/>
    <n v="1"/>
    <n v="11425.065500000001"/>
    <x v="2"/>
    <x v="0"/>
  </r>
  <r>
    <x v="0"/>
    <x v="11"/>
    <n v="44561"/>
    <x v="0"/>
    <x v="0"/>
    <x v="0"/>
    <x v="2"/>
    <x v="226"/>
    <s v="Chả Giò Rế - Gói 300G"/>
    <s v="Gói"/>
    <n v="1"/>
    <n v="0.3"/>
    <d v="1899-12-30T07:12:00"/>
    <n v="44695"/>
    <s v="Rách"/>
    <n v="18350"/>
    <x v="0"/>
    <n v="1"/>
    <n v="18350"/>
    <x v="2"/>
    <x v="0"/>
  </r>
  <r>
    <x v="0"/>
    <x v="11"/>
    <n v="44561"/>
    <x v="0"/>
    <x v="0"/>
    <x v="0"/>
    <x v="2"/>
    <x v="235"/>
    <s v="Chả Giò Da Xốp Cầu Tre - Nhân Thịt - Gói 500G"/>
    <s v="Gói"/>
    <n v="5"/>
    <n v="2.5"/>
    <d v="1899-12-30T12:00:00"/>
    <n v="44684"/>
    <s v="Rách"/>
    <n v="153249.85149999999"/>
    <x v="0"/>
    <n v="5"/>
    <n v="153249.85149999999"/>
    <x v="2"/>
    <x v="0"/>
  </r>
  <r>
    <x v="0"/>
    <x v="11"/>
    <n v="44561"/>
    <x v="0"/>
    <x v="0"/>
    <x v="0"/>
    <x v="2"/>
    <x v="228"/>
    <s v="Chả Giò Da Xốp Cầu Tre - Nhân Tôm và Thịt - Gói 400G"/>
    <s v="Gói"/>
    <n v="1"/>
    <n v="0.4"/>
    <d v="1899-12-30T09:36:00"/>
    <n v="44815"/>
    <s v="Rách"/>
    <n v="26899.983800000002"/>
    <x v="0"/>
    <n v="1"/>
    <n v="26899.983800000002"/>
    <x v="2"/>
    <x v="0"/>
  </r>
  <r>
    <x v="0"/>
    <x v="11"/>
    <n v="44561"/>
    <x v="5"/>
    <x v="0"/>
    <x v="16"/>
    <x v="2"/>
    <x v="231"/>
    <s v="Cá viên - Gói 250G"/>
    <s v="Gói"/>
    <n v="1"/>
    <n v="0.25"/>
    <d v="1899-12-30T06:00:00"/>
    <n v="44714"/>
    <s v="Xì"/>
    <n v="17275"/>
    <x v="0"/>
    <n v="1"/>
    <n v="17275"/>
    <x v="2"/>
    <x v="0"/>
  </r>
  <r>
    <x v="0"/>
    <x v="11"/>
    <n v="44561"/>
    <x v="5"/>
    <x v="0"/>
    <x v="16"/>
    <x v="2"/>
    <x v="231"/>
    <s v="Cá viên - Gói 250G"/>
    <s v="Gói"/>
    <n v="3"/>
    <n v="0.75"/>
    <d v="1899-12-30T06:00:00"/>
    <n v="44747"/>
    <s v="Rách"/>
    <n v="51825"/>
    <x v="0"/>
    <n v="3"/>
    <n v="51825"/>
    <x v="2"/>
    <x v="0"/>
  </r>
  <r>
    <x v="0"/>
    <x v="11"/>
    <n v="44561"/>
    <x v="5"/>
    <x v="0"/>
    <x v="16"/>
    <x v="2"/>
    <x v="46"/>
    <s v="Cá viên ngon Cầu Tre 500gr"/>
    <s v="Túi"/>
    <n v="1"/>
    <n v="0.5"/>
    <d v="1899-12-30T12:00:00"/>
    <n v="44783"/>
    <s v="Xì"/>
    <n v="22349.9954"/>
    <x v="0"/>
    <n v="1"/>
    <n v="22349.9954"/>
    <x v="2"/>
    <x v="0"/>
  </r>
  <r>
    <x v="0"/>
    <x v="11"/>
    <n v="44561"/>
    <x v="5"/>
    <x v="0"/>
    <x v="16"/>
    <x v="2"/>
    <x v="46"/>
    <s v="Cá viên ngon Cầu Tre 500gr"/>
    <s v="Túi"/>
    <n v="2"/>
    <n v="1"/>
    <d v="1899-12-30T12:00:00"/>
    <n v="44901"/>
    <s v="Xì"/>
    <n v="44699.9908"/>
    <x v="0"/>
    <n v="2"/>
    <n v="44699.9908"/>
    <x v="2"/>
    <x v="0"/>
  </r>
  <r>
    <x v="0"/>
    <x v="11"/>
    <n v="44561"/>
    <x v="5"/>
    <x v="0"/>
    <x v="16"/>
    <x v="2"/>
    <x v="46"/>
    <s v="Cá viên ngon Cầu Tre 500gr"/>
    <s v="Túi"/>
    <n v="1"/>
    <n v="0.5"/>
    <d v="1899-12-30T12:00:00"/>
    <n v="44904"/>
    <s v="Xì"/>
    <n v="22349.9954"/>
    <x v="0"/>
    <n v="1"/>
    <n v="22349.9954"/>
    <x v="2"/>
    <x v="0"/>
  </r>
  <r>
    <x v="0"/>
    <x v="11"/>
    <n v="44561"/>
    <x v="0"/>
    <x v="0"/>
    <x v="3"/>
    <x v="2"/>
    <x v="125"/>
    <s v="Há Cảo CTE Mini - Gói 500g"/>
    <s v="Gói"/>
    <n v="2"/>
    <n v="1"/>
    <d v="1899-12-30T12:00:00"/>
    <n v="44866"/>
    <s v="Mờ date"/>
    <n v="74100"/>
    <x v="0"/>
    <n v="2"/>
    <n v="74100"/>
    <x v="2"/>
    <x v="0"/>
  </r>
  <r>
    <x v="0"/>
    <x v="11"/>
    <n v="44561"/>
    <x v="0"/>
    <x v="0"/>
    <x v="3"/>
    <x v="2"/>
    <x v="125"/>
    <s v="Há Cảo CTE Mini - Gói 500g"/>
    <s v="Gói"/>
    <n v="1"/>
    <n v="0.5"/>
    <d v="1899-12-30T12:00:00"/>
    <n v="44825"/>
    <s v="Rách"/>
    <n v="37050"/>
    <x v="0"/>
    <n v="1"/>
    <n v="37050"/>
    <x v="2"/>
    <x v="0"/>
  </r>
  <r>
    <x v="0"/>
    <x v="11"/>
    <n v="44561"/>
    <x v="0"/>
    <x v="0"/>
    <x v="3"/>
    <x v="2"/>
    <x v="125"/>
    <s v="Há Cảo CTE Mini - Gói 500g"/>
    <s v="Gói"/>
    <n v="1"/>
    <n v="0.5"/>
    <d v="1899-12-30T12:00:00"/>
    <n v="44861"/>
    <s v="Rách"/>
    <n v="37050"/>
    <x v="0"/>
    <n v="1"/>
    <n v="37050"/>
    <x v="2"/>
    <x v="0"/>
  </r>
  <r>
    <x v="0"/>
    <x v="11"/>
    <n v="44561"/>
    <x v="0"/>
    <x v="0"/>
    <x v="3"/>
    <x v="2"/>
    <x v="125"/>
    <s v="Há Cảo CTE Mini - Gói 500g"/>
    <s v="Gói"/>
    <n v="1"/>
    <n v="0.5"/>
    <d v="1899-12-30T12:00:00"/>
    <n v="44896"/>
    <s v="Rách"/>
    <n v="37050"/>
    <x v="0"/>
    <n v="1"/>
    <n v="37050"/>
    <x v="2"/>
    <x v="0"/>
  </r>
  <r>
    <x v="0"/>
    <x v="11"/>
    <n v="44561"/>
    <x v="6"/>
    <x v="0"/>
    <x v="38"/>
    <x v="2"/>
    <x v="160"/>
    <s v="Ohya Fun Mix Nugget, Phô Mai Da Xốp - Gói 270G"/>
    <s v="Gói"/>
    <n v="1"/>
    <n v="0.27"/>
    <d v="1899-12-30T06:28:48"/>
    <n v="44761"/>
    <s v="Rách"/>
    <n v="30786.352999999999"/>
    <x v="0"/>
    <n v="1"/>
    <n v="30786.352999999999"/>
    <x v="2"/>
    <x v="0"/>
  </r>
  <r>
    <x v="0"/>
    <x v="11"/>
    <n v="44561"/>
    <x v="0"/>
    <x v="0"/>
    <x v="0"/>
    <x v="2"/>
    <x v="337"/>
    <s v="Nem Real Kiểu Hà Nội Nhân Thịt - Gói 360G"/>
    <s v="Gói"/>
    <n v="4"/>
    <n v="1.44"/>
    <d v="1899-12-30T08:38:24"/>
    <n v="44837"/>
    <s v="Rách"/>
    <n v="126320.08560000001"/>
    <x v="0"/>
    <n v="4"/>
    <n v="126320.08560000001"/>
    <x v="2"/>
    <x v="0"/>
  </r>
  <r>
    <x v="0"/>
    <x v="11"/>
    <n v="44561"/>
    <x v="0"/>
    <x v="0"/>
    <x v="0"/>
    <x v="2"/>
    <x v="337"/>
    <s v="Nem Real Kiểu Hà Nội Nhân Thịt - Gói 360G"/>
    <s v="Gói"/>
    <n v="1"/>
    <n v="0.36"/>
    <d v="1899-12-30T08:38:24"/>
    <n v="44852"/>
    <s v="Rách"/>
    <n v="31580.021400000001"/>
    <x v="0"/>
    <n v="1"/>
    <n v="31580.021400000001"/>
    <x v="2"/>
    <x v="0"/>
  </r>
  <r>
    <x v="0"/>
    <x v="11"/>
    <n v="44561"/>
    <x v="0"/>
    <x v="0"/>
    <x v="0"/>
    <x v="2"/>
    <x v="337"/>
    <s v="Nem Real Kiểu Hà Nội Nhân Thịt - Gói 360G"/>
    <s v="Gói"/>
    <n v="2"/>
    <n v="0.72"/>
    <d v="1899-12-30T08:38:24"/>
    <n v="44861"/>
    <s v="Rách"/>
    <n v="63160.042800000003"/>
    <x v="0"/>
    <n v="2"/>
    <n v="63160.042800000003"/>
    <x v="2"/>
    <x v="0"/>
  </r>
  <r>
    <x v="0"/>
    <x v="11"/>
    <n v="44561"/>
    <x v="5"/>
    <x v="0"/>
    <x v="48"/>
    <x v="2"/>
    <x v="335"/>
    <s v="Nem Nướng - Gói 250G"/>
    <s v="Gói"/>
    <n v="1"/>
    <n v="0.25"/>
    <d v="1899-12-30T06:00:00"/>
    <n v="44899"/>
    <s v="Rách"/>
    <n v="23879.343400000002"/>
    <x v="0"/>
    <n v="1"/>
    <n v="23879.343400000002"/>
    <x v="2"/>
    <x v="0"/>
  </r>
  <r>
    <x v="0"/>
    <x v="11"/>
    <n v="44561"/>
    <x v="1"/>
    <x v="0"/>
    <x v="41"/>
    <x v="2"/>
    <x v="385"/>
    <s v="CJ Cau Tre I'm Rice Cơm chiên tỏi Khay 240g"/>
    <s v="Khay"/>
    <n v="8"/>
    <n v="1.92"/>
    <d v="1899-12-30T05:45:36"/>
    <n v="44892"/>
    <s v="Rách"/>
    <n v="116313.69839999999"/>
    <x v="0"/>
    <n v="8"/>
    <n v="116313.69839999999"/>
    <x v="2"/>
    <x v="0"/>
  </r>
  <r>
    <x v="0"/>
    <x v="11"/>
    <n v="44561"/>
    <x v="1"/>
    <x v="0"/>
    <x v="41"/>
    <x v="2"/>
    <x v="385"/>
    <s v="CJ Cau Tre I'm Rice Cơm chiên tỏi Khay 240g"/>
    <s v="Khay"/>
    <n v="7"/>
    <n v="1.68"/>
    <d v="1899-12-30T05:45:36"/>
    <n v="44893"/>
    <s v="Rách"/>
    <n v="101774.48609999999"/>
    <x v="0"/>
    <n v="7"/>
    <n v="101774.48609999999"/>
    <x v="2"/>
    <x v="0"/>
  </r>
  <r>
    <x v="0"/>
    <x v="11"/>
    <n v="44561"/>
    <x v="3"/>
    <x v="0"/>
    <x v="12"/>
    <x v="2"/>
    <x v="65"/>
    <s v="Đậu hũ chiên Ông Kim's 350gr"/>
    <s v="Hộp"/>
    <n v="291"/>
    <n v="101.85"/>
    <d v="1899-12-30T08:24:00"/>
    <n v="44543"/>
    <s v="Hết Date"/>
    <n v="4401375"/>
    <x v="0"/>
    <n v="291"/>
    <n v="4401375"/>
    <x v="2"/>
    <x v="0"/>
  </r>
  <r>
    <x v="0"/>
    <x v="11"/>
    <n v="44561"/>
    <x v="3"/>
    <x v="0"/>
    <x v="12"/>
    <x v="2"/>
    <x v="65"/>
    <s v="Đậu hũ chiên Ông Kim's 350gr"/>
    <s v="Hộp"/>
    <n v="6"/>
    <n v="2.0999999999999996"/>
    <d v="1899-12-30T08:24:00"/>
    <n v="44543"/>
    <s v="Xì chân không"/>
    <n v="90750"/>
    <x v="0"/>
    <n v="6"/>
    <n v="90750"/>
    <x v="2"/>
    <x v="0"/>
  </r>
  <r>
    <x v="0"/>
    <x v="11"/>
    <n v="44561"/>
    <x v="3"/>
    <x v="0"/>
    <x v="12"/>
    <x v="2"/>
    <x v="65"/>
    <s v="Đậu hũ chiên Ông Kim's 350gr"/>
    <s v="Hộp"/>
    <n v="2"/>
    <n v="0.7"/>
    <d v="1899-12-30T08:24:00"/>
    <n v="44515"/>
    <s v="hàng bị xì"/>
    <n v="30250"/>
    <x v="2"/>
    <n v="0"/>
    <n v="0"/>
    <x v="2"/>
    <x v="0"/>
  </r>
  <r>
    <x v="0"/>
    <x v="11"/>
    <n v="44561"/>
    <x v="3"/>
    <x v="0"/>
    <x v="12"/>
    <x v="2"/>
    <x v="65"/>
    <s v="Đậu hũ chiên Ông Kim's 350gr"/>
    <s v="Hộp"/>
    <n v="81"/>
    <n v="28.35"/>
    <d v="1899-12-30T08:24:00"/>
    <n v="44550"/>
    <s v="Hết Date"/>
    <n v="1225125"/>
    <x v="0"/>
    <n v="81"/>
    <n v="1225125"/>
    <x v="2"/>
    <x v="0"/>
  </r>
  <r>
    <x v="0"/>
    <x v="11"/>
    <n v="44561"/>
    <x v="3"/>
    <x v="0"/>
    <x v="21"/>
    <x v="2"/>
    <x v="66"/>
    <s v="Đậu hũ miếng Bibigo Ông Kim's 250gr"/>
    <s v="Hộp"/>
    <n v="8"/>
    <n v="2"/>
    <d v="1899-12-30T06:00:00"/>
    <n v="44515"/>
    <s v="Bể"/>
    <n v="67800"/>
    <x v="0"/>
    <n v="8"/>
    <n v="67800"/>
    <x v="2"/>
    <x v="0"/>
  </r>
  <r>
    <x v="0"/>
    <x v="11"/>
    <n v="44561"/>
    <x v="3"/>
    <x v="0"/>
    <x v="21"/>
    <x v="2"/>
    <x v="66"/>
    <s v="Đậu hũ miếng Bibigo Ông Kim's 250gr"/>
    <s v="Hộp"/>
    <n v="5"/>
    <n v="1.25"/>
    <d v="1899-12-30T06:00:00"/>
    <n v="44522"/>
    <s v="Hết Date"/>
    <n v="42375"/>
    <x v="0"/>
    <n v="5"/>
    <n v="42375"/>
    <x v="2"/>
    <x v="0"/>
  </r>
  <r>
    <x v="0"/>
    <x v="11"/>
    <n v="44561"/>
    <x v="3"/>
    <x v="0"/>
    <x v="21"/>
    <x v="2"/>
    <x v="66"/>
    <s v="Đậu hũ miếng Bibigo Ông Kim's 250gr"/>
    <s v="Hộp"/>
    <n v="40"/>
    <n v="10"/>
    <d v="1899-12-30T06:00:00"/>
    <n v="44550"/>
    <s v="Hết Date"/>
    <n v="339000"/>
    <x v="0"/>
    <n v="40"/>
    <n v="339000"/>
    <x v="2"/>
    <x v="0"/>
  </r>
  <r>
    <x v="0"/>
    <x v="11"/>
    <n v="44561"/>
    <x v="3"/>
    <x v="0"/>
    <x v="21"/>
    <x v="2"/>
    <x v="66"/>
    <s v="Đậu hũ miếng Bibigo Ông Kim's 250gr"/>
    <s v="Hộp"/>
    <n v="2"/>
    <n v="0.5"/>
    <d v="1899-12-30T06:00:00"/>
    <n v="44557"/>
    <s v="Xì"/>
    <n v="16950"/>
    <x v="0"/>
    <n v="2"/>
    <n v="16950"/>
    <x v="2"/>
    <x v="0"/>
  </r>
  <r>
    <x v="0"/>
    <x v="11"/>
    <n v="44561"/>
    <x v="3"/>
    <x v="0"/>
    <x v="21"/>
    <x v="2"/>
    <x v="66"/>
    <s v="Đậu hũ miếng Bibigo Ông Kim's 250gr"/>
    <s v="Hộp"/>
    <n v="2"/>
    <n v="0.5"/>
    <d v="1899-12-30T06:00:00"/>
    <n v="44515"/>
    <s v="Hết Date"/>
    <n v="16950"/>
    <x v="0"/>
    <n v="2"/>
    <n v="16950"/>
    <x v="2"/>
    <x v="0"/>
  </r>
  <r>
    <x v="0"/>
    <x v="11"/>
    <n v="44561"/>
    <x v="3"/>
    <x v="0"/>
    <x v="21"/>
    <x v="2"/>
    <x v="87"/>
    <s v="Đậu hũ non Bibigo Ông Kim's 220gr"/>
    <s v="Túi"/>
    <n v="3"/>
    <n v="0.66"/>
    <d v="1899-12-30T05:16:48"/>
    <n v="44501"/>
    <s v="Bể (16-10-21)"/>
    <n v="19530"/>
    <x v="0"/>
    <n v="3"/>
    <n v="19530"/>
    <x v="2"/>
    <x v="0"/>
  </r>
  <r>
    <x v="0"/>
    <x v="11"/>
    <n v="44561"/>
    <x v="3"/>
    <x v="0"/>
    <x v="21"/>
    <x v="2"/>
    <x v="87"/>
    <s v="Đậu hũ non Bibigo Ông Kim's 220gr"/>
    <s v="Túi"/>
    <n v="1"/>
    <n v="0.22"/>
    <d v="1899-12-30T05:16:48"/>
    <n v="44508"/>
    <s v="Bị bể"/>
    <n v="6510"/>
    <x v="0"/>
    <n v="1"/>
    <n v="6510"/>
    <x v="2"/>
    <x v="0"/>
  </r>
  <r>
    <x v="0"/>
    <x v="11"/>
    <n v="44561"/>
    <x v="3"/>
    <x v="0"/>
    <x v="21"/>
    <x v="2"/>
    <x v="87"/>
    <s v="Đậu hũ non Bibigo Ông Kim's 220gr"/>
    <s v="Túi"/>
    <n v="2"/>
    <n v="0.44"/>
    <d v="1899-12-30T05:16:48"/>
    <n v="44522"/>
    <s v="Bể"/>
    <n v="13020"/>
    <x v="0"/>
    <n v="2"/>
    <n v="13020"/>
    <x v="2"/>
    <x v="0"/>
  </r>
  <r>
    <x v="0"/>
    <x v="11"/>
    <n v="44561"/>
    <x v="3"/>
    <x v="0"/>
    <x v="21"/>
    <x v="2"/>
    <x v="87"/>
    <s v="Đậu hũ non Bibigo Ông Kim's 220gr"/>
    <s v="Túi"/>
    <n v="3"/>
    <n v="0.66"/>
    <d v="1899-12-30T05:16:48"/>
    <n v="44550"/>
    <s v="Hết Date"/>
    <n v="19530"/>
    <x v="0"/>
    <n v="3"/>
    <n v="19530"/>
    <x v="2"/>
    <x v="0"/>
  </r>
  <r>
    <x v="0"/>
    <x v="11"/>
    <n v="44561"/>
    <x v="3"/>
    <x v="0"/>
    <x v="21"/>
    <x v="2"/>
    <x v="107"/>
    <s v="Đậu hũ non Bibigo Ông Kim's 250gr"/>
    <s v="Hộp"/>
    <n v="25"/>
    <n v="6.25"/>
    <d v="1899-12-30T06:00:00"/>
    <n v="44543"/>
    <s v="Hết Date"/>
    <n v="194375"/>
    <x v="0"/>
    <n v="25"/>
    <n v="194375"/>
    <x v="2"/>
    <x v="0"/>
  </r>
  <r>
    <x v="0"/>
    <x v="11"/>
    <n v="44561"/>
    <x v="3"/>
    <x v="0"/>
    <x v="21"/>
    <x v="2"/>
    <x v="107"/>
    <s v="Đậu hũ non Bibigo Ông Kim's 250gr"/>
    <s v="Hộp"/>
    <n v="1"/>
    <n v="0.25"/>
    <d v="1899-12-30T06:00:00"/>
    <n v="44515"/>
    <s v="Bể"/>
    <n v="7775"/>
    <x v="0"/>
    <n v="1"/>
    <n v="7775"/>
    <x v="2"/>
    <x v="0"/>
  </r>
  <r>
    <x v="0"/>
    <x v="11"/>
    <n v="44561"/>
    <x v="3"/>
    <x v="0"/>
    <x v="21"/>
    <x v="2"/>
    <x v="107"/>
    <s v="Đậu hũ non Bibigo Ông Kim's 250gr"/>
    <s v="Hộp"/>
    <n v="18"/>
    <n v="4.5"/>
    <d v="1899-12-30T06:00:00"/>
    <n v="44494"/>
    <s v="Bể"/>
    <n v="139950"/>
    <x v="0"/>
    <n v="18"/>
    <n v="139950"/>
    <x v="2"/>
    <x v="0"/>
  </r>
  <r>
    <x v="0"/>
    <x v="11"/>
    <n v="44561"/>
    <x v="5"/>
    <x v="0"/>
    <x v="16"/>
    <x v="2"/>
    <x v="102"/>
    <s v="Deli bò viên  500g  40 viên/kg"/>
    <s v="Kg"/>
    <n v="23.5"/>
    <n v="23.5"/>
    <d v="1899-12-31T00:00:00"/>
    <n v="44426"/>
    <s v="Hết Date"/>
    <n v="1543950"/>
    <x v="0"/>
    <n v="23.5"/>
    <n v="1543950"/>
    <x v="2"/>
    <x v="0"/>
  </r>
  <r>
    <x v="0"/>
    <x v="11"/>
    <n v="44561"/>
    <x v="5"/>
    <x v="0"/>
    <x v="16"/>
    <x v="2"/>
    <x v="108"/>
    <s v="Cá viên 500g 280 viên/kg"/>
    <s v="Kg"/>
    <n v="0.5"/>
    <n v="0.25"/>
    <d v="1899-12-30T12:00:00"/>
    <n v="44409"/>
    <s v="Hết Date"/>
    <n v="17195.14285"/>
    <x v="2"/>
    <n v="0"/>
    <n v="0"/>
    <x v="2"/>
    <x v="0"/>
  </r>
  <r>
    <x v="0"/>
    <x v="11"/>
    <n v="44561"/>
    <x v="5"/>
    <x v="0"/>
    <x v="16"/>
    <x v="2"/>
    <x v="112"/>
    <s v="Hương vị tôm viên 500g 160 viên/kg"/>
    <s v="Kg"/>
    <n v="6"/>
    <n v="3"/>
    <d v="1899-12-30T12:00:00"/>
    <n v="44438"/>
    <s v="Hết Date"/>
    <n v="231939.33240000001"/>
    <x v="0"/>
    <n v="6"/>
    <n v="231939.33240000001"/>
    <x v="2"/>
    <x v="0"/>
  </r>
  <r>
    <x v="0"/>
    <x v="11"/>
    <n v="44561"/>
    <x v="5"/>
    <x v="0"/>
    <x v="24"/>
    <x v="2"/>
    <x v="113"/>
    <s v="Chả cá dây 500g"/>
    <s v="Kg"/>
    <n v="16"/>
    <n v="8"/>
    <d v="1899-12-30T12:00:00"/>
    <n v="44453"/>
    <s v="Hết Date"/>
    <n v="711201.80960000004"/>
    <x v="0"/>
    <n v="16"/>
    <n v="711201.80960000004"/>
    <x v="2"/>
    <x v="0"/>
  </r>
  <r>
    <x v="0"/>
    <x v="11"/>
    <n v="44561"/>
    <x v="3"/>
    <x v="0"/>
    <x v="12"/>
    <x v="2"/>
    <x v="53"/>
    <s v="Kim chi cải thảo cắt lát Ông Kim's 5kg (B2B) - GGG"/>
    <s v="Túi"/>
    <n v="2"/>
    <n v="10"/>
    <d v="1900-01-04T00:00:00"/>
    <n v="44514"/>
    <s v="BỂ 2 TÚI TRONG THÙNG NGUYÊN GGG TRẢ VỀ"/>
    <n v="277209.18339999998"/>
    <x v="0"/>
    <n v="2"/>
    <n v="277209.18339999998"/>
    <x v="2"/>
    <x v="0"/>
  </r>
  <r>
    <x v="0"/>
    <x v="11"/>
    <n v="44561"/>
    <x v="3"/>
    <x v="0"/>
    <x v="12"/>
    <x v="2"/>
    <x v="53"/>
    <s v="Kim chi cải thảo cắt lát Ông Kim's 5kg (B2B) - GGG"/>
    <s v="Túi"/>
    <n v="6"/>
    <n v="30"/>
    <d v="1900-01-04T00:00:00"/>
    <n v="44563"/>
    <s v="Bể"/>
    <n v="831627.55020000006"/>
    <x v="0"/>
    <n v="6"/>
    <n v="831627.55020000017"/>
    <x v="2"/>
    <x v="0"/>
  </r>
  <r>
    <x v="0"/>
    <x v="11"/>
    <n v="44561"/>
    <x v="3"/>
    <x v="0"/>
    <x v="12"/>
    <x v="2"/>
    <x v="41"/>
    <s v="Bibigo Kimchi cải thảo chay 500gr"/>
    <s v="Hộp"/>
    <n v="24"/>
    <n v="12"/>
    <d v="1899-12-30T12:00:00"/>
    <n v="44446"/>
    <s v="Hết Date"/>
    <n v="630000.88320000004"/>
    <x v="0"/>
    <n v="24"/>
    <n v="630000.88320000004"/>
    <x v="2"/>
    <x v="0"/>
  </r>
  <r>
    <x v="0"/>
    <x v="11"/>
    <n v="44561"/>
    <x v="3"/>
    <x v="0"/>
    <x v="12"/>
    <x v="2"/>
    <x v="31"/>
    <s v="Bibigo Kimchi cải thảo - ngò 100gr"/>
    <s v="Túi"/>
    <n v="2"/>
    <n v="0.2"/>
    <d v="1899-12-30T02:24:00"/>
    <n v="44576"/>
    <s v="hàng bị xì"/>
    <n v="15099.924800000001"/>
    <x v="2"/>
    <n v="0"/>
    <n v="0"/>
    <x v="2"/>
    <x v="0"/>
  </r>
  <r>
    <x v="0"/>
    <x v="11"/>
    <n v="44561"/>
    <x v="3"/>
    <x v="0"/>
    <x v="12"/>
    <x v="2"/>
    <x v="31"/>
    <s v="Bibigo Kimchi cải thảo - ngò 100gr"/>
    <s v="Túi"/>
    <n v="2"/>
    <n v="0.2"/>
    <d v="1899-12-30T02:24:00"/>
    <n v="44468"/>
    <s v="Hết Date"/>
    <n v="15099.924800000001"/>
    <x v="2"/>
    <n v="0"/>
    <n v="0"/>
    <x v="2"/>
    <x v="0"/>
  </r>
  <r>
    <x v="0"/>
    <x v="11"/>
    <n v="44561"/>
    <x v="3"/>
    <x v="0"/>
    <x v="0"/>
    <x v="2"/>
    <x v="68"/>
    <s v="Bibigo Kimchi cải thảo - ngò 500gr"/>
    <s v="Hộp"/>
    <n v="1"/>
    <n v="0.5"/>
    <d v="1899-12-30T12:00:00"/>
    <n v="44531"/>
    <s v="Bể"/>
    <n v="27750.090400000001"/>
    <x v="0"/>
    <n v="1"/>
    <n v="27750.090400000001"/>
    <x v="2"/>
    <x v="0"/>
  </r>
  <r>
    <x v="0"/>
    <x v="11"/>
    <n v="44561"/>
    <x v="3"/>
    <x v="0"/>
    <x v="12"/>
    <x v="2"/>
    <x v="55"/>
    <s v="Bibigo Kimchi cải thảo cây 5kg"/>
    <s v="Bịch"/>
    <n v="5"/>
    <n v="25"/>
    <d v="1900-01-04T00:00:00"/>
    <n v="44292"/>
    <s v="Hết Date"/>
    <n v="989999.96349999995"/>
    <x v="2"/>
    <n v="0"/>
    <n v="0"/>
    <x v="2"/>
    <x v="0"/>
  </r>
  <r>
    <x v="0"/>
    <x v="11"/>
    <n v="44561"/>
    <x v="3"/>
    <x v="0"/>
    <x v="12"/>
    <x v="2"/>
    <x v="55"/>
    <s v="Bibigo Kimchi cải thảo cây 5kg"/>
    <s v="Bịch"/>
    <n v="12"/>
    <n v="60"/>
    <d v="1900-01-04T00:00:00"/>
    <n v="44373"/>
    <s v="Bể"/>
    <n v="2375999.9123999998"/>
    <x v="2"/>
    <n v="0"/>
    <n v="0"/>
    <x v="2"/>
    <x v="0"/>
  </r>
  <r>
    <x v="0"/>
    <x v="11"/>
    <n v="44561"/>
    <x v="3"/>
    <x v="0"/>
    <x v="12"/>
    <x v="2"/>
    <x v="55"/>
    <s v="Bibigo Kimchi cải thảo cây 5kg"/>
    <s v="Bịch"/>
    <n v="1"/>
    <n v="5"/>
    <d v="1900-01-04T00:00:00"/>
    <n v="44412"/>
    <s v="Bể"/>
    <n v="197999.9927"/>
    <x v="2"/>
    <n v="0"/>
    <n v="0"/>
    <x v="2"/>
    <x v="0"/>
  </r>
  <r>
    <x v="0"/>
    <x v="11"/>
    <n v="44561"/>
    <x v="3"/>
    <x v="0"/>
    <x v="12"/>
    <x v="2"/>
    <x v="55"/>
    <s v="Bibigo Kimchi cải thảo cây 5kg"/>
    <s v="Bịch"/>
    <n v="2"/>
    <n v="10"/>
    <d v="1900-01-04T00:00:00"/>
    <n v="44521"/>
    <s v="Bể"/>
    <n v="395999.98540000001"/>
    <x v="0"/>
    <n v="2"/>
    <n v="395999.98540000001"/>
    <x v="2"/>
    <x v="0"/>
  </r>
  <r>
    <x v="0"/>
    <x v="11"/>
    <n v="44561"/>
    <x v="3"/>
    <x v="0"/>
    <x v="12"/>
    <x v="2"/>
    <x v="55"/>
    <s v="Bibigo Kimchi cải thảo cây 5kg"/>
    <s v="Bịch"/>
    <n v="1"/>
    <n v="5"/>
    <d v="1900-01-04T00:00:00"/>
    <n v="44554"/>
    <s v="Bể"/>
    <n v="197999.9927"/>
    <x v="0"/>
    <n v="1"/>
    <n v="197999.9927"/>
    <x v="2"/>
    <x v="0"/>
  </r>
  <r>
    <x v="0"/>
    <x v="11"/>
    <n v="44561"/>
    <x v="3"/>
    <x v="0"/>
    <x v="12"/>
    <x v="2"/>
    <x v="55"/>
    <s v="Bibigo Kimchi cải thảo cây 5kg"/>
    <s v="Bịch"/>
    <n v="2"/>
    <n v="10"/>
    <d v="1900-01-04T00:00:00"/>
    <n v="44557"/>
    <s v="Bể"/>
    <n v="395999.98540000001"/>
    <x v="0"/>
    <n v="2"/>
    <n v="395999.98540000001"/>
    <x v="2"/>
    <x v="0"/>
  </r>
  <r>
    <x v="0"/>
    <x v="11"/>
    <n v="44561"/>
    <x v="3"/>
    <x v="0"/>
    <x v="12"/>
    <x v="2"/>
    <x v="55"/>
    <s v="Bibigo Kimchi cải thảo cây 5kg"/>
    <s v="Bịch"/>
    <n v="3"/>
    <n v="15"/>
    <d v="1900-01-04T00:00:00"/>
    <n v="44603"/>
    <s v="Hàng bể"/>
    <n v="593999.97809999995"/>
    <x v="0"/>
    <n v="3"/>
    <n v="593999.97809999995"/>
    <x v="2"/>
    <x v="0"/>
  </r>
  <r>
    <x v="0"/>
    <x v="11"/>
    <n v="44561"/>
    <x v="3"/>
    <x v="0"/>
    <x v="12"/>
    <x v="2"/>
    <x v="55"/>
    <s v="Bibigo Kimchi cải thảo cây 5kg"/>
    <s v="Bịch"/>
    <n v="5"/>
    <n v="25"/>
    <d v="1900-01-04T00:00:00"/>
    <n v="44412"/>
    <s v="Hết Date"/>
    <n v="989999.96349999995"/>
    <x v="0"/>
    <n v="5"/>
    <n v="989999.96349999995"/>
    <x v="2"/>
    <x v="0"/>
  </r>
  <r>
    <x v="0"/>
    <x v="11"/>
    <n v="44561"/>
    <x v="3"/>
    <x v="0"/>
    <x v="12"/>
    <x v="2"/>
    <x v="94"/>
    <s v="Bibigo Kimchi cải thảo cây 5kg - GGG"/>
    <s v="Bịch"/>
    <n v="4"/>
    <n v="20"/>
    <d v="1900-01-04T00:00:00"/>
    <n v="44381"/>
    <s v="Bể"/>
    <n v="617617.91840000008"/>
    <x v="0"/>
    <n v="4"/>
    <n v="617617.91840000008"/>
    <x v="2"/>
    <x v="0"/>
  </r>
  <r>
    <x v="0"/>
    <x v="11"/>
    <n v="44561"/>
    <x v="3"/>
    <x v="0"/>
    <x v="12"/>
    <x v="2"/>
    <x v="339"/>
    <s v="Bibigo Kimchi cải thảo cắt lát 3kg"/>
    <s v="Túi"/>
    <n v="3"/>
    <n v="9"/>
    <d v="1900-01-02T00:00:00"/>
    <n v="44422"/>
    <s v="Bể"/>
    <n v="358500"/>
    <x v="0"/>
    <n v="3"/>
    <n v="358500"/>
    <x v="2"/>
    <x v="0"/>
  </r>
  <r>
    <x v="0"/>
    <x v="11"/>
    <n v="44561"/>
    <x v="3"/>
    <x v="0"/>
    <x v="12"/>
    <x v="2"/>
    <x v="339"/>
    <s v="Bibigo Kimchi cải thảo cắt lát 3kg"/>
    <s v="Túi"/>
    <n v="1"/>
    <n v="3"/>
    <d v="1900-01-02T00:00:00"/>
    <n v="44513"/>
    <s v="Bể (17-9)"/>
    <n v="119500"/>
    <x v="0"/>
    <n v="1"/>
    <n v="119500"/>
    <x v="2"/>
    <x v="0"/>
  </r>
  <r>
    <x v="0"/>
    <x v="11"/>
    <n v="44561"/>
    <x v="3"/>
    <x v="0"/>
    <x v="12"/>
    <x v="2"/>
    <x v="18"/>
    <s v="Kim chi cải thảo cắt lát Ông Kim's 300g"/>
    <s v="Hộp"/>
    <n v="7"/>
    <n v="2.1"/>
    <d v="1899-12-30T07:12:00"/>
    <n v="44469"/>
    <s v="Bể"/>
    <n v="80150.004199999996"/>
    <x v="0"/>
    <n v="7"/>
    <n v="80150.004199999996"/>
    <x v="2"/>
    <x v="0"/>
  </r>
  <r>
    <x v="0"/>
    <x v="11"/>
    <n v="44561"/>
    <x v="5"/>
    <x v="0"/>
    <x v="24"/>
    <x v="2"/>
    <x v="76"/>
    <s v="Chả Lụa 3 khỏe 500g"/>
    <s v="Cây"/>
    <n v="1"/>
    <n v="0.5"/>
    <d v="1899-12-30T12:00:00"/>
    <n v="44450"/>
    <s v="Hết Date"/>
    <n v="44449.999300000003"/>
    <x v="0"/>
    <n v="1"/>
    <n v="44449.999300000003"/>
    <x v="2"/>
    <x v="0"/>
  </r>
  <r>
    <x v="0"/>
    <x v="11"/>
    <n v="44561"/>
    <x v="5"/>
    <x v="0"/>
    <x v="24"/>
    <x v="2"/>
    <x v="76"/>
    <s v="Chả Lụa 3 khỏe 500g"/>
    <s v="Cây"/>
    <n v="1"/>
    <n v="0.5"/>
    <d v="1899-12-30T12:00:00"/>
    <n v="44516"/>
    <s v="Không có Tem"/>
    <n v="44449.999300000003"/>
    <x v="0"/>
    <n v="1"/>
    <n v="44449.999300000003"/>
    <x v="2"/>
    <x v="0"/>
  </r>
  <r>
    <x v="0"/>
    <x v="11"/>
    <n v="44561"/>
    <x v="5"/>
    <x v="0"/>
    <x v="11"/>
    <x v="2"/>
    <x v="26"/>
    <s v="Chả cá viên 500g"/>
    <s v="Túi"/>
    <n v="2"/>
    <n v="1"/>
    <d v="1899-12-30T12:00:00"/>
    <n v="44408"/>
    <s v="Xì"/>
    <n v="71299.999200000006"/>
    <x v="0"/>
    <n v="2"/>
    <n v="71299.999200000006"/>
    <x v="2"/>
    <x v="0"/>
  </r>
  <r>
    <x v="0"/>
    <x v="11"/>
    <n v="44561"/>
    <x v="5"/>
    <x v="0"/>
    <x v="11"/>
    <x v="2"/>
    <x v="26"/>
    <s v="Chả cá viên 500g"/>
    <s v="Túi"/>
    <n v="10"/>
    <n v="5"/>
    <d v="1899-12-30T12:00:00"/>
    <n v="44441"/>
    <s v="Xì"/>
    <n v="356499.99600000004"/>
    <x v="0"/>
    <n v="10"/>
    <n v="356499.99600000004"/>
    <x v="2"/>
    <x v="0"/>
  </r>
  <r>
    <x v="0"/>
    <x v="11"/>
    <n v="44561"/>
    <x v="5"/>
    <x v="0"/>
    <x v="11"/>
    <x v="2"/>
    <x v="26"/>
    <s v="Chả cá viên 500g"/>
    <s v="Túi"/>
    <n v="6"/>
    <n v="3"/>
    <d v="1899-12-30T12:00:00"/>
    <n v="44558"/>
    <s v="Xì chân không"/>
    <n v="213899.9976"/>
    <x v="0"/>
    <n v="6"/>
    <n v="213899.9976"/>
    <x v="2"/>
    <x v="0"/>
  </r>
  <r>
    <x v="0"/>
    <x v="11"/>
    <n v="44561"/>
    <x v="5"/>
    <x v="0"/>
    <x v="11"/>
    <x v="2"/>
    <x v="26"/>
    <s v="Chả cá viên 500g"/>
    <s v="Túi"/>
    <n v="1"/>
    <n v="0.5"/>
    <d v="1899-12-30T12:00:00"/>
    <n v="44607"/>
    <s v="Rách"/>
    <n v="35649.999600000003"/>
    <x v="0"/>
    <n v="1"/>
    <n v="35649.999600000003"/>
    <x v="2"/>
    <x v="0"/>
  </r>
  <r>
    <x v="0"/>
    <x v="11"/>
    <n v="44561"/>
    <x v="5"/>
    <x v="0"/>
    <x v="24"/>
    <x v="2"/>
    <x v="9"/>
    <s v="Chả Lụa Quết Thượng Hạng 500g (mát)"/>
    <s v="Gói"/>
    <n v="1"/>
    <n v="0.5"/>
    <d v="1899-12-30T12:00:00"/>
    <n v="44458"/>
    <s v="Không có Tem"/>
    <n v="67050.000599999999"/>
    <x v="0"/>
    <n v="1"/>
    <n v="67050.000599999999"/>
    <x v="2"/>
    <x v="0"/>
  </r>
  <r>
    <x v="0"/>
    <x v="11"/>
    <n v="44561"/>
    <x v="5"/>
    <x v="0"/>
    <x v="24"/>
    <x v="2"/>
    <x v="225"/>
    <s v="Chả lụa quết Cầu Tre - Chả bì ớt xiêm xanh 200gr"/>
    <s v="GOI"/>
    <n v="1"/>
    <n v="0.2"/>
    <d v="1899-12-30T04:48:00"/>
    <n v="44589"/>
    <s v="Rách"/>
    <n v="25500"/>
    <x v="0"/>
    <n v="1"/>
    <n v="25500"/>
    <x v="2"/>
    <x v="0"/>
  </r>
  <r>
    <x v="0"/>
    <x v="11"/>
    <n v="44561"/>
    <x v="5"/>
    <x v="0"/>
    <x v="24"/>
    <x v="2"/>
    <x v="181"/>
    <s v="Chả lụa quết Cầu Tre - Chả bì 500gr"/>
    <s v="CAY"/>
    <n v="3"/>
    <n v="1.5"/>
    <d v="1899-12-30T12:00:00"/>
    <n v="44588"/>
    <s v="Rách"/>
    <n v="191250"/>
    <x v="0"/>
    <n v="3"/>
    <n v="191250"/>
    <x v="2"/>
    <x v="0"/>
  </r>
  <r>
    <x v="0"/>
    <x v="11"/>
    <n v="44561"/>
    <x v="5"/>
    <x v="0"/>
    <x v="24"/>
    <x v="2"/>
    <x v="387"/>
    <s v="Chả lụa quết Cầu Tre - Chả bì 200gr"/>
    <s v="GOI"/>
    <n v="1"/>
    <n v="0.2"/>
    <d v="1899-12-30T04:48:00"/>
    <n v="44579"/>
    <s v="Rách"/>
    <n v="25500"/>
    <x v="0"/>
    <n v="1"/>
    <n v="25500"/>
    <x v="2"/>
    <x v="0"/>
  </r>
  <r>
    <x v="0"/>
    <x v="11"/>
    <n v="44561"/>
    <x v="1"/>
    <x v="0"/>
    <x v="37"/>
    <x v="2"/>
    <x v="126"/>
    <s v="Cầu Tre Pure bánh tráng chả giò 280g"/>
    <s v="Gói"/>
    <n v="4"/>
    <n v="1.1200000000000001"/>
    <d v="1899-12-30T06:43:12"/>
    <n v="44572"/>
    <s v="HÀNG THU HỒI NPP NGUYÊN HÂN KO ĐẠT"/>
    <n v="50225.454400000002"/>
    <x v="1"/>
    <n v="0"/>
    <n v="0"/>
    <x v="2"/>
    <x v="0"/>
  </r>
  <r>
    <x v="0"/>
    <x v="11"/>
    <n v="44561"/>
    <x v="1"/>
    <x v="0"/>
    <x v="37"/>
    <x v="2"/>
    <x v="126"/>
    <s v="Cầu Tre Pure bánh tráng chả giò 280g"/>
    <s v="Gói"/>
    <n v="124"/>
    <n v="34.720000000000006"/>
    <d v="1899-12-30T06:43:12"/>
    <n v="44572"/>
    <s v="Bán NV-NHẬP HÀNG THU HỒI NPP NGUYÊN HÂN"/>
    <n v="1556989.0863999999"/>
    <x v="2"/>
    <n v="0"/>
    <n v="0"/>
    <x v="2"/>
    <x v="0"/>
  </r>
  <r>
    <x v="0"/>
    <x v="11"/>
    <n v="44561"/>
    <x v="1"/>
    <x v="0"/>
    <x v="37"/>
    <x v="2"/>
    <x v="126"/>
    <s v="Cầu Tre Pure bánh tráng chả giò 280g"/>
    <s v="Gói"/>
    <n v="20"/>
    <n v="5.6000000000000005"/>
    <d v="1899-12-30T06:43:12"/>
    <n v="44619"/>
    <s v="Bán NV- Hàng trả BigC"/>
    <n v="251127.272"/>
    <x v="0"/>
    <n v="20"/>
    <n v="251127.272"/>
    <x v="2"/>
    <x v="0"/>
  </r>
  <r>
    <x v="0"/>
    <x v="11"/>
    <n v="44561"/>
    <x v="1"/>
    <x v="0"/>
    <x v="29"/>
    <x v="2"/>
    <x v="218"/>
    <s v="Cầu Tre Pure bún tươi 300g"/>
    <s v="Gói"/>
    <n v="15"/>
    <n v="4.5"/>
    <d v="1899-12-30T07:12:00"/>
    <n v="44586"/>
    <s v="Bán NV- Hàng trả BigC"/>
    <n v="158272.51800000001"/>
    <x v="1"/>
    <n v="0"/>
    <n v="0"/>
    <x v="2"/>
    <x v="0"/>
  </r>
  <r>
    <x v="0"/>
    <x v="11"/>
    <n v="44561"/>
    <x v="7"/>
    <x v="0"/>
    <x v="37"/>
    <x v="2"/>
    <x v="262"/>
    <s v="Bột Chiên Giòn - Gói 1Kg"/>
    <s v="Túi"/>
    <n v="71"/>
    <n v="71"/>
    <d v="1899-12-31T00:00:00"/>
    <n v="44480"/>
    <s v="NHẬP HÀNG THU HỒI NPP NGÂN KHÁNH (VỊ TRÍ F12 KO ĐẠT)"/>
    <n v="1626366.3208999999"/>
    <x v="1"/>
    <n v="0"/>
    <n v="0"/>
    <x v="2"/>
    <x v="0"/>
  </r>
  <r>
    <x v="0"/>
    <x v="11"/>
    <n v="44561"/>
    <x v="7"/>
    <x v="0"/>
    <x v="37"/>
    <x v="2"/>
    <x v="262"/>
    <s v="Bột Chiên Giòn - Gói 1Kg"/>
    <s v="Túi"/>
    <n v="229"/>
    <n v="229"/>
    <d v="1899-12-31T00:00:00"/>
    <n v="44583"/>
    <s v="Bán NV-NHẬP HÀNG THU HỒI NPP NGÂN KHÁNH (VỊ TRÍ F12 KO ĐẠT)"/>
    <n v="5245604.0490999995"/>
    <x v="2"/>
    <n v="0"/>
    <n v="0"/>
    <x v="2"/>
    <x v="0"/>
  </r>
  <r>
    <x v="0"/>
    <x v="11"/>
    <n v="44561"/>
    <x v="7"/>
    <x v="0"/>
    <x v="37"/>
    <x v="2"/>
    <x v="262"/>
    <s v="Bột Chiên Giòn - Gói 1Kg"/>
    <s v="Túi"/>
    <n v="1"/>
    <n v="1"/>
    <d v="1899-12-31T00:00:00"/>
    <n v="44827"/>
    <s v="bị rách"/>
    <n v="22906.567899999998"/>
    <x v="1"/>
    <n v="0"/>
    <n v="0"/>
    <x v="2"/>
    <x v="0"/>
  </r>
  <r>
    <x v="0"/>
    <x v="11"/>
    <n v="44561"/>
    <x v="7"/>
    <x v="0"/>
    <x v="30"/>
    <x v="2"/>
    <x v="158"/>
    <s v="Bột mì loại 1 - 20KG"/>
    <s v="Bao"/>
    <n v="2"/>
    <n v="40"/>
    <d v="1900-01-19T00:00:00"/>
    <n v="44654"/>
    <s v="CHUYỂN HÀNG RÁCH DO VẬN CHUYỂN TRÊN THANG NGÀY 18/9/2021"/>
    <n v="841836.88580000005"/>
    <x v="2"/>
    <n v="0"/>
    <n v="0"/>
    <x v="2"/>
    <x v="0"/>
  </r>
  <r>
    <x v="0"/>
    <x v="11"/>
    <n v="44561"/>
    <x v="7"/>
    <x v="0"/>
    <x v="30"/>
    <x v="2"/>
    <x v="347"/>
    <s v="Dầu mè đậm đặc 320ml"/>
    <s v="Chai"/>
    <n v="62"/>
    <n v="19.84"/>
    <d v="1899-12-30T07:40:48"/>
    <n v="44463"/>
    <s v="Hàng thu hồi của NPP Ngọc Tấn Tài"/>
    <n v="3083705.9287999999"/>
    <x v="1"/>
    <n v="0"/>
    <n v="0"/>
    <x v="2"/>
    <x v="0"/>
  </r>
  <r>
    <x v="0"/>
    <x v="11"/>
    <n v="44561"/>
    <x v="7"/>
    <x v="0"/>
    <x v="30"/>
    <x v="2"/>
    <x v="260"/>
    <s v="Dầu mè đậm đặc 110ml"/>
    <s v="Chai"/>
    <n v="6"/>
    <n v="0.66"/>
    <d v="1899-12-30T02:38:24"/>
    <n v="45130"/>
    <s v="Hàng bể bị lem trong thùng"/>
    <n v="134129.89499999999"/>
    <x v="1"/>
    <n v="0"/>
    <n v="0"/>
    <x v="2"/>
    <x v="0"/>
  </r>
  <r>
    <x v="0"/>
    <x v="11"/>
    <n v="44561"/>
    <x v="4"/>
    <x v="0"/>
    <x v="32"/>
    <x v="2"/>
    <x v="261"/>
    <s v="(HAECHANDLE) Tương đậu truyền thống 14KG"/>
    <s v="Thùng"/>
    <n v="1"/>
    <n v="14"/>
    <d v="1900-01-13T00:00:00"/>
    <n v="44714"/>
    <s v="Bán NV- Hàng thu hồi A1Mart"/>
    <n v="341846.85249999998"/>
    <x v="1"/>
    <n v="0"/>
    <n v="0"/>
    <x v="2"/>
    <x v="0"/>
  </r>
  <r>
    <x v="0"/>
    <x v="11"/>
    <n v="44561"/>
    <x v="4"/>
    <x v="0"/>
    <x v="32"/>
    <x v="2"/>
    <x v="261"/>
    <s v="(HAECHANDLE) Tương đậu truyền thống 14KG"/>
    <s v="Thùng"/>
    <n v="1"/>
    <n v="14"/>
    <d v="1900-01-13T00:00:00"/>
    <n v="44734"/>
    <s v="Phạm Ngọc Linh trả tương bị đen( bị khui thùng)"/>
    <n v="341846.85249999998"/>
    <x v="1"/>
    <n v="0"/>
    <n v="0"/>
    <x v="2"/>
    <x v="0"/>
  </r>
  <r>
    <x v="0"/>
    <x v="11"/>
    <n v="44561"/>
    <x v="4"/>
    <x v="0"/>
    <x v="32"/>
    <x v="2"/>
    <x v="261"/>
    <s v="(HAECHANDLE) Tương đậu truyền thống 14KG"/>
    <s v="Thùng"/>
    <n v="1"/>
    <n v="14"/>
    <d v="1900-01-13T00:00:00"/>
    <n v="44770"/>
    <s v="Bán NV- Hàng thu hồi A1Mart"/>
    <n v="341846.85249999998"/>
    <x v="1"/>
    <n v="0"/>
    <n v="0"/>
    <x v="2"/>
    <x v="0"/>
  </r>
  <r>
    <x v="0"/>
    <x v="11"/>
    <n v="44561"/>
    <x v="4"/>
    <x v="0"/>
    <x v="32"/>
    <x v="2"/>
    <x v="261"/>
    <s v="(HAECHANDLE) Tương đậu truyền thống 14KG"/>
    <s v="Thùng"/>
    <n v="1"/>
    <n v="14"/>
    <d v="1900-01-13T00:00:00"/>
    <n v="44778"/>
    <s v="Bán NV- Hàng thu hồi A1Mart"/>
    <n v="341846.85249999998"/>
    <x v="1"/>
    <n v="0"/>
    <n v="0"/>
    <x v="2"/>
    <x v="0"/>
  </r>
  <r>
    <x v="0"/>
    <x v="11"/>
    <n v="44561"/>
    <x v="4"/>
    <x v="0"/>
    <x v="32"/>
    <x v="2"/>
    <x v="172"/>
    <s v="Tương đậu truyền thống (HỘP) 500G"/>
    <s v="Hộp"/>
    <n v="94"/>
    <n v="47"/>
    <d v="1899-12-30T12:00:00"/>
    <n v="44684"/>
    <s v="Bán NV- Hàng thu hồi NPP Phúc Thịnh"/>
    <n v="1874642"/>
    <x v="2"/>
    <n v="0"/>
    <n v="0"/>
    <x v="2"/>
    <x v="0"/>
  </r>
  <r>
    <x v="0"/>
    <x v="11"/>
    <n v="44561"/>
    <x v="4"/>
    <x v="0"/>
    <x v="32"/>
    <x v="2"/>
    <x v="172"/>
    <s v="Tương đậu truyền thống (HỘP) 500G"/>
    <s v="Hộp"/>
    <n v="16"/>
    <n v="8"/>
    <d v="1899-12-30T12:00:00"/>
    <n v="44733"/>
    <s v="Bán NV- Hàng đổi Hồ Học Lãm"/>
    <n v="319088"/>
    <x v="2"/>
    <n v="0"/>
    <n v="0"/>
    <x v="2"/>
    <x v="0"/>
  </r>
  <r>
    <x v="0"/>
    <x v="11"/>
    <n v="44561"/>
    <x v="4"/>
    <x v="0"/>
    <x v="32"/>
    <x v="2"/>
    <x v="189"/>
    <s v="(HAECHANDLE) Tương ớt (P) 500G"/>
    <s v="Hộp"/>
    <n v="6"/>
    <n v="3"/>
    <d v="1899-12-30T12:00:00"/>
    <n v="44747"/>
    <s v="Bán NV- Hàng thu hồi NPP Phúc Thịnh"/>
    <n v="181396.27679999999"/>
    <x v="2"/>
    <n v="0"/>
    <n v="0"/>
    <x v="2"/>
    <x v="0"/>
  </r>
  <r>
    <x v="0"/>
    <x v="11"/>
    <n v="44561"/>
    <x v="4"/>
    <x v="0"/>
    <x v="32"/>
    <x v="2"/>
    <x v="229"/>
    <s v="Tương ớt Taeyangcho (original) 500G (hộp)"/>
    <s v="Hộp"/>
    <n v="78"/>
    <n v="39"/>
    <d v="1899-12-30T12:00:00"/>
    <n v="44779"/>
    <s v="Bán NV- Hàng thu hồi NPP Phúc Thịnh"/>
    <n v="2075977.9872000001"/>
    <x v="2"/>
    <n v="0"/>
    <n v="0"/>
    <x v="2"/>
    <x v="0"/>
  </r>
  <r>
    <x v="0"/>
    <x v="11"/>
    <n v="44561"/>
    <x v="4"/>
    <x v="0"/>
    <x v="32"/>
    <x v="2"/>
    <x v="248"/>
    <s v="Tương trộn ăn liền gold 14KG"/>
    <s v="Thùng"/>
    <n v="1"/>
    <n v="15"/>
    <d v="1900-01-14T00:00:00"/>
    <n v="44724"/>
    <s v="hàng bị mốc"/>
    <n v="414758.73729999998"/>
    <x v="2"/>
    <n v="0"/>
    <n v="0"/>
    <x v="2"/>
    <x v="0"/>
  </r>
  <r>
    <x v="0"/>
    <x v="11"/>
    <n v="44561"/>
    <x v="4"/>
    <x v="0"/>
    <x v="32"/>
    <x v="2"/>
    <x v="388"/>
    <s v="Tương chấm thịt nướng 450G"/>
    <s v="Hộp"/>
    <n v="112"/>
    <n v="50.4"/>
    <d v="1899-12-30T10:48:00"/>
    <n v="44550"/>
    <s v="Bán NV- Hàng thu hồi NPP Phúc Thịnh"/>
    <n v="3226012.1376"/>
    <x v="2"/>
    <n v="0"/>
    <n v="0"/>
    <x v="2"/>
    <x v="0"/>
  </r>
  <r>
    <x v="0"/>
    <x v="11"/>
    <n v="44561"/>
    <x v="4"/>
    <x v="0"/>
    <x v="32"/>
    <x v="2"/>
    <x v="389"/>
    <s v="Tương chấm ăn liền 500G"/>
    <s v="Hộp"/>
    <n v="290"/>
    <n v="145"/>
    <d v="1899-12-30T12:00:00"/>
    <n v="44593"/>
    <s v="Bán NV- Hàng thu hồi NPP Phúc Thịnh"/>
    <n v="6041933.892"/>
    <x v="2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11"/>
    <n v="3.3"/>
    <d v="1899-12-30T07:12:00"/>
    <n v="44615"/>
    <s v="Bán NV-hàng thu hồi Watsons"/>
    <n v="764228.51340000005"/>
    <x v="2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1"/>
    <n v="0.3"/>
    <d v="1899-12-30T07:12:00"/>
    <n v="44842"/>
    <s v="bị móp trong thùng"/>
    <n v="69475.319399999993"/>
    <x v="1"/>
    <n v="0"/>
    <n v="0"/>
    <x v="2"/>
    <x v="0"/>
  </r>
  <r>
    <x v="0"/>
    <x v="11"/>
    <n v="44561"/>
    <x v="1"/>
    <x v="0"/>
    <x v="51"/>
    <x v="2"/>
    <x v="233"/>
    <s v="Miến Hàn Quốc 1KG"/>
    <s v="Gói"/>
    <n v="1"/>
    <n v="1"/>
    <d v="1899-12-31T00:00:00"/>
    <n v="45004"/>
    <s v="bị rách"/>
    <n v="53879.727299999999"/>
    <x v="1"/>
    <n v="0"/>
    <n v="0"/>
    <x v="2"/>
    <x v="0"/>
  </r>
  <r>
    <x v="0"/>
    <x v="11"/>
    <n v="44561"/>
    <x v="2"/>
    <x v="0"/>
    <x v="36"/>
    <x v="2"/>
    <x v="8"/>
    <s v="Thực Phẩm Bảo Vệ Sức Khỏe INNERB AQUA RICH (28G*20EA/CT)"/>
    <s v="Hộp"/>
    <n v="1"/>
    <n v="2.8000000000000001E-2"/>
    <d v="1899-12-30T00:40:19"/>
    <n v="44596"/>
    <s v="bị rách"/>
    <n v="186281.125"/>
    <x v="1"/>
    <n v="0"/>
    <n v="0"/>
    <x v="2"/>
    <x v="0"/>
  </r>
  <r>
    <x v="0"/>
    <x v="11"/>
    <n v="44561"/>
    <x v="2"/>
    <x v="0"/>
    <x v="34"/>
    <x v="2"/>
    <x v="140"/>
    <s v="Thực Phẩm Bảo Vệ Sức Khỏe INNERB AQUA RICH DOUBLEUP (42G*20EA/CT)"/>
    <s v="Hộp"/>
    <n v="3"/>
    <n v="1.2000000000000002"/>
    <d v="1899-12-30T09:36:00"/>
    <n v="44994"/>
    <s v="HÀNG LỖI THU HỒI CỦA NPP NGUYỄN VĂN HIỆU"/>
    <n v="621488.05379999999"/>
    <x v="1"/>
    <n v="0"/>
    <n v="0"/>
    <x v="2"/>
    <x v="0"/>
  </r>
  <r>
    <x v="0"/>
    <x v="11"/>
    <n v="44561"/>
    <x v="2"/>
    <x v="0"/>
    <x v="34"/>
    <x v="2"/>
    <x v="140"/>
    <s v="Thực Phẩm Bảo Vệ Sức Khỏe INNERB AQUA RICH DOUBLEUP (42G*20EA/CT)"/>
    <s v="Hộp"/>
    <n v="5"/>
    <n v="2"/>
    <d v="1899-12-30T09:36:00"/>
    <n v="44996"/>
    <s v="HÀNG LỖI THU HỒI CỦA NPP NGUYỄN VĂN HIỆU"/>
    <n v="1035813.423"/>
    <x v="1"/>
    <n v="0"/>
    <n v="0"/>
    <x v="2"/>
    <x v="0"/>
  </r>
  <r>
    <x v="0"/>
    <x v="11"/>
    <n v="44561"/>
    <x v="2"/>
    <x v="0"/>
    <x v="34"/>
    <x v="2"/>
    <x v="140"/>
    <s v="Thực Phẩm Bảo Vệ Sức Khỏe INNERB AQUA RICH DOUBLEUP (42G*20EA/CT)"/>
    <s v="Hộp"/>
    <n v="1"/>
    <n v="0.4"/>
    <d v="1899-12-30T09:36:00"/>
    <n v="45046"/>
    <s v="Bán VN- Sale kênh E-COMMERCE hàng trả về  bị rách"/>
    <n v="207162.68460000001"/>
    <x v="2"/>
    <n v="0"/>
    <n v="0"/>
    <x v="2"/>
    <x v="0"/>
  </r>
  <r>
    <x v="0"/>
    <x v="11"/>
    <n v="44561"/>
    <x v="2"/>
    <x v="0"/>
    <x v="34"/>
    <x v="2"/>
    <x v="140"/>
    <s v="Thực Phẩm Bảo Vệ Sức Khỏe INNERB AQUA RICH DOUBLEUP (42G*20EA/CT)"/>
    <s v="Hộp"/>
    <n v="3"/>
    <n v="1.2000000000000002"/>
    <d v="1899-12-30T09:36:00"/>
    <n v="45242"/>
    <s v="bị móp trên cont"/>
    <n v="621488.05379999999"/>
    <x v="1"/>
    <n v="0"/>
    <n v="0"/>
    <x v="2"/>
    <x v="0"/>
  </r>
  <r>
    <x v="0"/>
    <x v="11"/>
    <n v="44561"/>
    <x v="2"/>
    <x v="0"/>
    <x v="52"/>
    <x v="2"/>
    <x v="390"/>
    <s v="RED GINSENG EXTRACT (10ml*10 stick)*24ea/CT"/>
    <s v="Hộp"/>
    <n v="1"/>
    <n v="0.1"/>
    <d v="1899-12-30T02:24:00"/>
    <n v="45016"/>
    <s v="BỊ MÓP"/>
    <n v="308550"/>
    <x v="1"/>
    <n v="0"/>
    <n v="0"/>
    <x v="2"/>
    <x v="0"/>
  </r>
  <r>
    <x v="0"/>
    <x v="11"/>
    <n v="44561"/>
    <x v="4"/>
    <x v="0"/>
    <x v="25"/>
    <x v="2"/>
    <x v="143"/>
    <s v="Xốt ướp Bulgogi bò 10KG"/>
    <s v="Thùng"/>
    <n v="1"/>
    <n v="10"/>
    <d v="1900-01-09T00:00:00"/>
    <n v="44856"/>
    <s v="Hàng bị bể trên cont"/>
    <n v="341673.34580000001"/>
    <x v="2"/>
    <n v="0"/>
    <n v="0"/>
    <x v="2"/>
    <x v="0"/>
  </r>
  <r>
    <x v="0"/>
    <x v="11"/>
    <n v="44561"/>
    <x v="4"/>
    <x v="0"/>
    <x v="25"/>
    <x v="2"/>
    <x v="192"/>
    <s v="(BEKSUL) Xốt ướp Bulgogi heo 290G"/>
    <s v="Hũ"/>
    <n v="1"/>
    <n v="0.28999999999999998"/>
    <d v="1899-12-30T06:57:36"/>
    <n v="44974"/>
    <s v="Hàng bị bể"/>
    <n v="18542.783100000001"/>
    <x v="2"/>
    <n v="0"/>
    <n v="0"/>
    <x v="2"/>
    <x v="0"/>
  </r>
  <r>
    <x v="0"/>
    <x v="11"/>
    <n v="44561"/>
    <x v="4"/>
    <x v="0"/>
    <x v="25"/>
    <x v="2"/>
    <x v="192"/>
    <s v="(BEKSUL) Xốt ướp Bulgogi heo 290G"/>
    <s v="Hũ"/>
    <n v="8"/>
    <n v="2.3199999999999998"/>
    <d v="1899-12-30T06:57:36"/>
    <n v="45048"/>
    <s v="Bị bể khi vận chuyển trên thang"/>
    <n v="148342.2648"/>
    <x v="1"/>
    <n v="0"/>
    <n v="0"/>
    <x v="2"/>
    <x v="0"/>
  </r>
  <r>
    <x v="0"/>
    <x v="11"/>
    <n v="44561"/>
    <x v="4"/>
    <x v="0"/>
    <x v="25"/>
    <x v="2"/>
    <x v="133"/>
    <s v="CJ Bibigo Xốt ướp thịt Bulgogi - Vị mặn ngọt 80 gr"/>
    <s v="Gói"/>
    <n v="22"/>
    <n v="1.76"/>
    <d v="1899-12-30T01:55:12"/>
    <n v="44546"/>
    <s v="Hàng bị xì Kizuna chuyển về"/>
    <n v="68705.538"/>
    <x v="1"/>
    <n v="0"/>
    <n v="0"/>
    <x v="2"/>
    <x v="0"/>
  </r>
  <r>
    <x v="0"/>
    <x v="11"/>
    <n v="44561"/>
    <x v="4"/>
    <x v="0"/>
    <x v="25"/>
    <x v="2"/>
    <x v="133"/>
    <s v="CJ Bibigo Xốt ướp thịt Bulgogi - Vị mặn ngọt 80 gr"/>
    <s v="Gói"/>
    <n v="11"/>
    <n v="0.88"/>
    <d v="1899-12-30T01:55:12"/>
    <n v="44546"/>
    <s v="HÀNG BỊ NHIỄM LẠNH KHO MÁT QUẤN KIMCHI"/>
    <n v="34352.769"/>
    <x v="1"/>
    <n v="0"/>
    <n v="0"/>
    <x v="2"/>
    <x v="0"/>
  </r>
  <r>
    <x v="0"/>
    <x v="11"/>
    <n v="44561"/>
    <x v="5"/>
    <x v="0"/>
    <x v="39"/>
    <x v="2"/>
    <x v="169"/>
    <s v="Ohya Thanh Thịt Nướng Xốt Bulgogi 35g"/>
    <s v="Gói"/>
    <n v="32"/>
    <n v="1.1200000000000001"/>
    <d v="1899-12-30T00:50:24"/>
    <n v="44556"/>
    <s v="Hết Date"/>
    <n v="175760"/>
    <x v="1"/>
    <n v="0"/>
    <n v="0"/>
    <x v="2"/>
    <x v="0"/>
  </r>
  <r>
    <x v="0"/>
    <x v="11"/>
    <n v="44561"/>
    <x v="2"/>
    <x v="0"/>
    <x v="7"/>
    <x v="2"/>
    <x v="148"/>
    <s v="Trà Oolong - Hộp 200G"/>
    <s v="Hộp"/>
    <n v="10"/>
    <n v="2"/>
    <d v="1899-12-30T04:48:00"/>
    <n v="44472"/>
    <s v="Satra trả"/>
    <n v="808263.93500000006"/>
    <x v="1"/>
    <n v="0"/>
    <n v="0"/>
    <x v="2"/>
    <x v="0"/>
  </r>
  <r>
    <x v="0"/>
    <x v="11"/>
    <n v="44561"/>
    <x v="4"/>
    <x v="0"/>
    <x v="25"/>
    <x v="2"/>
    <x v="190"/>
    <s v="(BEKSUL) Xốt ướp Bulgogi bò 290G"/>
    <s v="Hũ"/>
    <n v="1"/>
    <n v="0.28999999999999998"/>
    <d v="1899-12-30T06:57:36"/>
    <n v="44984"/>
    <s v="Hàng bị bể"/>
    <n v="17057.733800000002"/>
    <x v="1"/>
    <n v="0"/>
    <n v="0"/>
    <x v="2"/>
    <x v="0"/>
  </r>
  <r>
    <x v="0"/>
    <x v="11"/>
    <n v="44561"/>
    <x v="4"/>
    <x v="0"/>
    <x v="25"/>
    <x v="2"/>
    <x v="190"/>
    <s v="(BEKSUL) Xốt ướp Bulgogi bò 290G"/>
    <s v="Hũ"/>
    <n v="1"/>
    <n v="0.28999999999999998"/>
    <d v="1899-12-30T06:57:36"/>
    <n v="45029"/>
    <s v="bị bể trong thùng"/>
    <n v="17057.733800000002"/>
    <x v="2"/>
    <n v="0"/>
    <n v="0"/>
    <x v="2"/>
    <x v="0"/>
  </r>
  <r>
    <x v="0"/>
    <x v="11"/>
    <n v="44561"/>
    <x v="10"/>
    <x v="1"/>
    <x v="53"/>
    <x v="2"/>
    <x v="391"/>
    <s v="Hộp cứng (PODDH21/09/0017) (HD 0001052 đóng Set Sâm ROYAL BLACK  )"/>
    <s v="Cái"/>
    <n v="2"/>
    <n v="0"/>
    <d v="1899-12-30T00:00:00"/>
    <m/>
    <s v="bị rách, móp"/>
    <n v="102342"/>
    <x v="1"/>
    <n v="0"/>
    <n v="0"/>
    <x v="2"/>
    <x v="0"/>
  </r>
  <r>
    <x v="0"/>
    <x v="11"/>
    <n v="44561"/>
    <x v="1"/>
    <x v="0"/>
    <x v="54"/>
    <x v="2"/>
    <x v="185"/>
    <s v="Cầu Tre Pure bún tươi 300g_AUS"/>
    <s v="Gói"/>
    <n v="1"/>
    <n v="0.3"/>
    <d v="1899-12-30T07:12:00"/>
    <n v="44886"/>
    <s v="rách bao bì"/>
    <n v="10550"/>
    <x v="2"/>
    <n v="0"/>
    <n v="0"/>
    <x v="2"/>
    <x v="0"/>
  </r>
  <r>
    <x v="0"/>
    <x v="11"/>
    <n v="44561"/>
    <x v="4"/>
    <x v="0"/>
    <x v="32"/>
    <x v="2"/>
    <x v="392"/>
    <s v="Tương chấm thịt nướng (450G*24EA)/CT"/>
    <s v="Hộp"/>
    <n v="3"/>
    <n v="1.35"/>
    <d v="1899-12-30T10:48:00"/>
    <n v="44807"/>
    <s v="Hàng bể trên cont"/>
    <n v="84505.756200000003"/>
    <x v="2"/>
    <n v="0"/>
    <n v="0"/>
    <x v="2"/>
    <x v="0"/>
  </r>
  <r>
    <x v="0"/>
    <x v="11"/>
    <n v="44561"/>
    <x v="1"/>
    <x v="0"/>
    <x v="37"/>
    <x v="2"/>
    <x v="126"/>
    <s v="Cầu Tre Pure bánh tráng chả giò 280g"/>
    <s v="Gói"/>
    <n v="124"/>
    <n v="34.720000000000006"/>
    <d v="1899-12-30T06:43:12"/>
    <n v="44572"/>
    <s v="Bán NV-NHẬP HÀNG THU HỒI NPP NGUYÊN HÂN"/>
    <n v="1556989.0863999999"/>
    <x v="2"/>
    <n v="0"/>
    <n v="0"/>
    <x v="2"/>
    <x v="0"/>
  </r>
  <r>
    <x v="0"/>
    <x v="11"/>
    <n v="44561"/>
    <x v="1"/>
    <x v="0"/>
    <x v="37"/>
    <x v="2"/>
    <x v="126"/>
    <s v="Cầu Tre Pure bánh tráng chả giò 280g"/>
    <s v="Gói"/>
    <n v="20"/>
    <n v="5.6000000000000005"/>
    <d v="1899-12-30T06:43:12"/>
    <n v="44619"/>
    <s v="Bán NV- Hàng trả BigC"/>
    <n v="251127.272"/>
    <x v="2"/>
    <n v="0"/>
    <n v="0"/>
    <x v="2"/>
    <x v="0"/>
  </r>
  <r>
    <x v="0"/>
    <x v="11"/>
    <n v="44561"/>
    <x v="1"/>
    <x v="0"/>
    <x v="29"/>
    <x v="2"/>
    <x v="218"/>
    <s v="Cầu Tre Pure bún tươi 300g"/>
    <s v="Gói"/>
    <n v="15"/>
    <n v="4.5"/>
    <d v="1899-12-30T07:12:00"/>
    <n v="44586"/>
    <s v="Bán NV- Hàng trả BigC"/>
    <n v="158272.51800000001"/>
    <x v="2"/>
    <n v="0"/>
    <n v="0"/>
    <x v="2"/>
    <x v="0"/>
  </r>
  <r>
    <x v="0"/>
    <x v="11"/>
    <n v="44561"/>
    <x v="7"/>
    <x v="0"/>
    <x v="37"/>
    <x v="2"/>
    <x v="262"/>
    <s v="Bột Chiên Giòn - Gói 1Kg"/>
    <s v="Túi"/>
    <n v="229"/>
    <n v="229"/>
    <d v="1899-12-31T00:00:00"/>
    <n v="44583"/>
    <s v="Bán NV-NHẬP HÀNG THU HỒI NPP NGÂN KHÁNH (VỊ TRÍ F12 KO ĐẠT)"/>
    <n v="5245604.0490999995"/>
    <x v="2"/>
    <n v="0"/>
    <n v="0"/>
    <x v="2"/>
    <x v="0"/>
  </r>
  <r>
    <x v="0"/>
    <x v="11"/>
    <n v="44561"/>
    <x v="4"/>
    <x v="0"/>
    <x v="32"/>
    <x v="2"/>
    <x v="261"/>
    <s v="(HAECHANDLE) Tương đậu truyền thống 14KG"/>
    <s v="Thùng"/>
    <n v="1"/>
    <n v="14"/>
    <d v="1900-01-13T00:00:00"/>
    <n v="44714"/>
    <s v="Bán NV- Hàng thu hồi A1Mart"/>
    <n v="341846.85249999998"/>
    <x v="2"/>
    <n v="0"/>
    <n v="0"/>
    <x v="2"/>
    <x v="0"/>
  </r>
  <r>
    <x v="0"/>
    <x v="11"/>
    <n v="44561"/>
    <x v="4"/>
    <x v="0"/>
    <x v="32"/>
    <x v="2"/>
    <x v="261"/>
    <s v="(HAECHANDLE) Tương đậu truyền thống 14KG"/>
    <s v="Thùng"/>
    <n v="1"/>
    <n v="14"/>
    <d v="1900-01-13T00:00:00"/>
    <n v="44770"/>
    <s v="Bán NV- Hàng thu hồi A1Mart"/>
    <n v="341846.85249999998"/>
    <x v="2"/>
    <n v="0"/>
    <n v="0"/>
    <x v="2"/>
    <x v="0"/>
  </r>
  <r>
    <x v="0"/>
    <x v="11"/>
    <n v="44561"/>
    <x v="4"/>
    <x v="0"/>
    <x v="32"/>
    <x v="2"/>
    <x v="261"/>
    <s v="(HAECHANDLE) Tương đậu truyền thống 14KG"/>
    <s v="Thùng"/>
    <n v="1"/>
    <n v="14"/>
    <d v="1900-01-13T00:00:00"/>
    <n v="44778"/>
    <s v="Bán NV- Hàng thu hồi A1Mart"/>
    <n v="341846.85249999998"/>
    <x v="2"/>
    <n v="0"/>
    <n v="0"/>
    <x v="2"/>
    <x v="0"/>
  </r>
  <r>
    <x v="0"/>
    <x v="11"/>
    <n v="44561"/>
    <x v="4"/>
    <x v="0"/>
    <x v="32"/>
    <x v="2"/>
    <x v="172"/>
    <s v="Tương đậu truyền thống (HỘP) 500G"/>
    <s v="Hộp"/>
    <n v="94"/>
    <n v="47"/>
    <d v="1899-12-30T12:00:00"/>
    <n v="44684"/>
    <s v="Bán NV- Hàng thu hồi NPP Phúc Thịnh"/>
    <n v="1874642"/>
    <x v="2"/>
    <n v="0"/>
    <n v="0"/>
    <x v="2"/>
    <x v="0"/>
  </r>
  <r>
    <x v="0"/>
    <x v="11"/>
    <n v="44561"/>
    <x v="4"/>
    <x v="0"/>
    <x v="32"/>
    <x v="2"/>
    <x v="172"/>
    <s v="Tương đậu truyền thống (HỘP) 500G"/>
    <s v="Hộp"/>
    <n v="16"/>
    <n v="8"/>
    <d v="1899-12-30T12:00:00"/>
    <n v="44733"/>
    <s v="Bán NV- Hàng đổi Hồ Học Lãm"/>
    <n v="319088"/>
    <x v="2"/>
    <n v="0"/>
    <n v="0"/>
    <x v="2"/>
    <x v="0"/>
  </r>
  <r>
    <x v="0"/>
    <x v="11"/>
    <n v="44561"/>
    <x v="4"/>
    <x v="0"/>
    <x v="32"/>
    <x v="2"/>
    <x v="189"/>
    <s v="(HAECHANDLE) Tương ớt (P) 500G"/>
    <s v="Hộp"/>
    <n v="6"/>
    <n v="3"/>
    <d v="1899-12-30T12:00:00"/>
    <n v="44747"/>
    <s v="Bán NV- Hàng thu hồi NPP Phúc Thịnh"/>
    <n v="181396.27679999999"/>
    <x v="1"/>
    <n v="0"/>
    <n v="0"/>
    <x v="2"/>
    <x v="0"/>
  </r>
  <r>
    <x v="0"/>
    <x v="11"/>
    <n v="44561"/>
    <x v="4"/>
    <x v="0"/>
    <x v="32"/>
    <x v="2"/>
    <x v="229"/>
    <s v="Tương ớt Taeyangcho (original) 500G (hộp)"/>
    <s v="Hộp"/>
    <n v="78"/>
    <n v="39"/>
    <d v="1899-12-30T12:00:00"/>
    <n v="44779"/>
    <s v="Bán NV- Hàng thu hồi NPP Phúc Thịnh"/>
    <n v="2075977.9872000001"/>
    <x v="2"/>
    <n v="0"/>
    <n v="0"/>
    <x v="2"/>
    <x v="0"/>
  </r>
  <r>
    <x v="0"/>
    <x v="11"/>
    <n v="44561"/>
    <x v="4"/>
    <x v="0"/>
    <x v="32"/>
    <x v="2"/>
    <x v="388"/>
    <s v="Tương chấm thịt nướng 450G"/>
    <s v="Hộp"/>
    <n v="112"/>
    <n v="50.4"/>
    <d v="1899-12-30T10:48:00"/>
    <n v="44550"/>
    <s v="Bán NV- Hàng thu hồi NPP Phúc Thịnh"/>
    <n v="3226012.1376"/>
    <x v="2"/>
    <n v="0"/>
    <n v="0"/>
    <x v="2"/>
    <x v="0"/>
  </r>
  <r>
    <x v="0"/>
    <x v="11"/>
    <n v="44561"/>
    <x v="4"/>
    <x v="0"/>
    <x v="32"/>
    <x v="2"/>
    <x v="389"/>
    <s v="Tương chấm ăn liền 500G"/>
    <s v="Hộp"/>
    <n v="290"/>
    <n v="145"/>
    <d v="1899-12-30T12:00:00"/>
    <n v="44593"/>
    <s v="Bán NV- Hàng thu hồi NPP Phúc Thịnh"/>
    <n v="6041933.892"/>
    <x v="2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11"/>
    <n v="3.3"/>
    <d v="1899-12-30T07:12:00"/>
    <n v="44615"/>
    <s v="Bán NV-hàng thu hồi Watsons"/>
    <n v="764228.51340000005"/>
    <x v="1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2"/>
    <n v="0.6"/>
    <d v="1899-12-30T07:12:00"/>
    <n v="44644"/>
    <s v="Bán NV-hàng thu hồi Watsons"/>
    <n v="138950.63879999999"/>
    <x v="1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16"/>
    <n v="4.8"/>
    <d v="1899-12-30T07:12:00"/>
    <n v="44657"/>
    <s v="Bán NV- Nhập hàng thu hồi cty ABBW"/>
    <n v="1111605.1103999999"/>
    <x v="1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3"/>
    <n v="0.8999999999999998"/>
    <d v="1899-12-30T07:12:00"/>
    <n v="44704"/>
    <s v="Bán NV- Nhập hàng thu hồi Celedon Tân Phú"/>
    <n v="208425.95819999999"/>
    <x v="1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3"/>
    <n v="0.8999999999999998"/>
    <d v="1899-12-30T07:12:00"/>
    <n v="44658"/>
    <s v="Bán NV-hàng thu hồi Watsons"/>
    <n v="208425.95819999999"/>
    <x v="1"/>
    <n v="0"/>
    <n v="0"/>
    <x v="2"/>
    <x v="0"/>
  </r>
  <r>
    <x v="0"/>
    <x v="11"/>
    <n v="44561"/>
    <x v="2"/>
    <x v="0"/>
    <x v="36"/>
    <x v="2"/>
    <x v="7"/>
    <s v="Nước Uống Collagen Innerb Glowshot ((50ML*6EA)*10EA/CT)"/>
    <s v="Hộp"/>
    <n v="11"/>
    <n v="3.3"/>
    <d v="1899-12-30T07:12:00"/>
    <n v="44664"/>
    <s v="Bán NV- Nhập hàng thu hồi Celedon Tân Phú"/>
    <n v="764228.51340000005"/>
    <x v="1"/>
    <n v="0"/>
    <n v="0"/>
    <x v="2"/>
    <x v="0"/>
  </r>
  <r>
    <x v="0"/>
    <x v="11"/>
    <n v="44561"/>
    <x v="2"/>
    <x v="0"/>
    <x v="36"/>
    <x v="2"/>
    <x v="8"/>
    <s v="Thực Phẩm Bảo Vệ Sức Khỏe INNERB AQUA RICH (28G*20EA/CT)"/>
    <s v="Hộp"/>
    <n v="108"/>
    <n v="3.024"/>
    <d v="1899-12-30T00:40:19"/>
    <n v="44666"/>
    <s v="Bán NV- Hàng thu hồi Pharmacity"/>
    <n v="20118361.5"/>
    <x v="1"/>
    <n v="0"/>
    <n v="0"/>
    <x v="2"/>
    <x v="0"/>
  </r>
  <r>
    <x v="0"/>
    <x v="11"/>
    <n v="44561"/>
    <x v="2"/>
    <x v="0"/>
    <x v="36"/>
    <x v="2"/>
    <x v="8"/>
    <s v="Thực Phẩm Bảo Vệ Sức Khỏe INNERB AQUA RICH (28G*20EA/CT)"/>
    <s v="Hộp"/>
    <n v="1"/>
    <n v="0.14000000000000001"/>
    <d v="1899-12-30T00:40:19"/>
    <n v="44664"/>
    <s v="Bán NV- Hàng thu hồi Pharmacity ( bị móp hộp)"/>
    <n v="186281.125"/>
    <x v="1"/>
    <n v="0"/>
    <n v="0"/>
    <x v="2"/>
    <x v="0"/>
  </r>
  <r>
    <x v="0"/>
    <x v="11"/>
    <n v="44561"/>
    <x v="2"/>
    <x v="0"/>
    <x v="36"/>
    <x v="2"/>
    <x v="8"/>
    <s v="Thực Phẩm Bảo Vệ Sức Khỏe INNERB AQUA RICH (28G*20EA/CT)"/>
    <s v="Hộp"/>
    <n v="4"/>
    <n v="0.14000000000000001"/>
    <d v="1899-12-30T00:40:19"/>
    <n v="44664"/>
    <s v="Bán NV- Hàng thu hồi Pharmacity bị phai màu"/>
    <n v="745124.5"/>
    <x v="1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2"/>
    <n v="3.3599999999999998E-2"/>
    <d v="1899-12-30T00:24:12"/>
    <n v="44567"/>
    <s v="Bán NV-Hàng thu hồi Pharmacity"/>
    <n v="263770.84499999997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135"/>
    <n v="2.2679999999999998"/>
    <d v="1899-12-30T00:24:12"/>
    <n v="44567"/>
    <s v="Bán NV-Nhập hàng thu hồi Guardian(1 hộp bị ướt)"/>
    <n v="17804532.037499998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6"/>
    <n v="0.1008"/>
    <d v="1899-12-30T00:24:12"/>
    <n v="44567"/>
    <s v="Bán NV- Nhập hàng thu hồi cty ABBW"/>
    <n v="791312.53500000003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2"/>
    <n v="3.3599999999999998E-2"/>
    <d v="1899-12-30T00:24:12"/>
    <n v="44567"/>
    <s v="Bán NV- Nhập hàng thu hồi AEON"/>
    <n v="263770.84499999997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17"/>
    <n v="0.28559999999999997"/>
    <d v="1899-12-30T00:24:12"/>
    <n v="44639"/>
    <s v="Bán NV- Nhập hàng thu hồi Celedon Tân Phú"/>
    <n v="2242052.1824999996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4"/>
    <n v="6.7199999999999996E-2"/>
    <d v="1899-12-30T00:24:12"/>
    <n v="44639"/>
    <s v="Bán NV- Nhập hàng thu hồi AEON Wellness"/>
    <n v="527541.68999999994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3"/>
    <n v="5.04E-2"/>
    <d v="1899-12-30T00:24:12"/>
    <n v="44639"/>
    <s v="Bán NV- Nhập hàng thu hồi AEON"/>
    <n v="395656.26750000002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149"/>
    <n v="2.5031999999999996"/>
    <d v="1899-12-30T00:24:12"/>
    <n v="44568"/>
    <s v="Bán NV-Hàng thu hồi Pharmacity"/>
    <n v="19650927.952500001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1"/>
    <n v="1.6799999999999999E-2"/>
    <d v="1899-12-30T00:24:12"/>
    <n v="44568"/>
    <s v="Bán NV- Nhập hàng thu hồi AEON Wellness"/>
    <n v="131885.42249999999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3"/>
    <n v="5.04E-2"/>
    <d v="1899-12-30T00:24:12"/>
    <n v="44568"/>
    <s v="Bán NV- Nhập hàng thu hồi AEON"/>
    <n v="395656.26750000002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2"/>
    <n v="3.3599999999999998E-2"/>
    <d v="1899-12-30T00:24:12"/>
    <n v="44899"/>
    <s v="Bán NV-Nhập hàng thu hồi Guardian(1 hộp bị ướt)"/>
    <n v="263770.84499999997"/>
    <x v="2"/>
    <n v="0"/>
    <n v="0"/>
    <x v="2"/>
    <x v="0"/>
  </r>
  <r>
    <x v="0"/>
    <x v="11"/>
    <n v="44561"/>
    <x v="2"/>
    <x v="0"/>
    <x v="36"/>
    <x v="2"/>
    <x v="138"/>
    <s v="Thực Phẩm Bảo Vệ Sức Khỏe INNERB AQUA BANK (16.8G*20EA/CT)"/>
    <s v="Hộp"/>
    <n v="1"/>
    <n v="1.6799999999999999E-2"/>
    <d v="1899-12-30T00:24:12"/>
    <n v="44979"/>
    <s v="Bán NV-Nhập hàng thu hồi Guardian(1 hộp bị ướt)"/>
    <n v="131885.42249999999"/>
    <x v="2"/>
    <n v="0"/>
    <n v="0"/>
    <x v="2"/>
    <x v="0"/>
  </r>
  <r>
    <x v="0"/>
    <x v="11"/>
    <n v="44561"/>
    <x v="2"/>
    <x v="0"/>
    <x v="36"/>
    <x v="2"/>
    <x v="139"/>
    <s v="Thực Phẩm Bảo Vệ Sức Khỏe INNERB AQUA RICH DOUBLEUP (33.6G*20EA/CT)"/>
    <s v="Hộp"/>
    <n v="4"/>
    <n v="0.13439999999999999"/>
    <d v="1899-12-30T00:48:23"/>
    <n v="44981"/>
    <s v="Bán NV-Nhập hàng thu hồi Guardian(1 hộp bị ướt)"/>
    <n v="609848.95439999993"/>
    <x v="2"/>
    <n v="0"/>
    <n v="0"/>
    <x v="2"/>
    <x v="0"/>
  </r>
  <r>
    <x v="0"/>
    <x v="11"/>
    <n v="44561"/>
    <x v="2"/>
    <x v="0"/>
    <x v="36"/>
    <x v="2"/>
    <x v="139"/>
    <s v="Thực Phẩm Bảo Vệ Sức Khỏe INNERB AQUA RICH DOUBLEUP (33.6G*20EA/CT)"/>
    <s v="Hộp"/>
    <n v="2"/>
    <n v="6.7199999999999996E-2"/>
    <d v="1899-12-30T00:48:23"/>
    <n v="45131"/>
    <s v="Bán NV-BỊ MÓP TRÊN CONT 2109-07FF"/>
    <n v="304924.47719999996"/>
    <x v="2"/>
    <n v="0"/>
    <n v="0"/>
    <x v="2"/>
    <x v="0"/>
  </r>
  <r>
    <x v="0"/>
    <x v="11"/>
    <n v="44561"/>
    <x v="2"/>
    <x v="0"/>
    <x v="34"/>
    <x v="2"/>
    <x v="140"/>
    <s v="Thực Phẩm Bảo Vệ Sức Khỏe INNERB AQUA RICH DOUBLEUP (42G*20EA/CT)"/>
    <s v="Hộp"/>
    <n v="1"/>
    <n v="0.4"/>
    <d v="1899-12-30T09:36:00"/>
    <n v="45165"/>
    <s v="Bán NV-BỊ MÓP TRÊN CONT 2109-07FF"/>
    <n v="207162.68460000001"/>
    <x v="2"/>
    <n v="0"/>
    <n v="0"/>
    <x v="2"/>
    <x v="0"/>
  </r>
  <r>
    <x v="0"/>
    <x v="11"/>
    <n v="44561"/>
    <x v="2"/>
    <x v="0"/>
    <x v="52"/>
    <x v="2"/>
    <x v="393"/>
    <s v="Black Ginseng extract 10g *24"/>
    <s v="Hộp"/>
    <n v="11"/>
    <n v="1.1000000000000001"/>
    <d v="1899-12-30T02:24:00"/>
    <n v="45021"/>
    <s v="Bán NV-HÀNG HƯNG YÊN DC VỀ  BỊ MÓP"/>
    <n v="838167.65890000004"/>
    <x v="2"/>
    <n v="0"/>
    <n v="0"/>
    <x v="2"/>
    <x v="0"/>
  </r>
  <r>
    <x v="0"/>
    <x v="11"/>
    <n v="44561"/>
    <x v="2"/>
    <x v="0"/>
    <x v="52"/>
    <x v="2"/>
    <x v="393"/>
    <s v="Black Ginseng extract 10g *24"/>
    <s v="Hộp"/>
    <n v="24"/>
    <n v="2.4000000000000004"/>
    <d v="1899-12-30T02:24:00"/>
    <n v="45021"/>
    <s v="Bán NV-HÀNG HƯNG YÊN DC VỀ BỊ MÓP"/>
    <n v="1828729.4376000001"/>
    <x v="2"/>
    <n v="0"/>
    <n v="0"/>
    <x v="2"/>
    <x v="0"/>
  </r>
  <r>
    <x v="0"/>
    <x v="11"/>
    <n v="44561"/>
    <x v="2"/>
    <x v="0"/>
    <x v="36"/>
    <x v="2"/>
    <x v="142"/>
    <s v="Thực Phẩm Bảo Vệ Sức Khỏe INNERB SNOW WHITE(35G*20EA/CT)"/>
    <s v="Hộp"/>
    <n v="1"/>
    <n v="3.5000000000000003E-2"/>
    <d v="1899-12-30T00:50:24"/>
    <n v="45063"/>
    <s v="Bán NV-Hàng móp trên cont 2106-14FF"/>
    <n v="250151.3021"/>
    <x v="2"/>
    <n v="0"/>
    <n v="0"/>
    <x v="2"/>
    <x v="0"/>
  </r>
  <r>
    <x v="0"/>
    <x v="11"/>
    <n v="44561"/>
    <x v="2"/>
    <x v="0"/>
    <x v="36"/>
    <x v="2"/>
    <x v="142"/>
    <s v="Thực Phẩm Bảo Vệ Sức Khỏe INNERB SNOW WHITE(35G*20EA/CT)"/>
    <s v="Hộp"/>
    <n v="1"/>
    <n v="3.5000000000000003E-2"/>
    <d v="1899-12-30T00:50:24"/>
    <n v="45169"/>
    <s v="Bán NV-BỊ MÓP TRÊN CONT 2109-07FF"/>
    <n v="250151.3021"/>
    <x v="2"/>
    <n v="0"/>
    <n v="0"/>
    <x v="2"/>
    <x v="0"/>
  </r>
  <r>
    <x v="0"/>
    <x v="11"/>
    <n v="44561"/>
    <x v="2"/>
    <x v="0"/>
    <x v="52"/>
    <x v="2"/>
    <x v="221"/>
    <s v="Nước trái cây đậm đặc lên men tự nhiên Micho vị đào 900ml"/>
    <s v="Chai"/>
    <n v="147"/>
    <n v="132.30000000000001"/>
    <d v="1899-12-30T21:36:00"/>
    <n v="44826"/>
    <s v="Bán NV- Hàng thu hồi NPP Phúc Thịnh"/>
    <n v="8766629.0627999995"/>
    <x v="2"/>
    <n v="0"/>
    <n v="0"/>
    <x v="2"/>
    <x v="0"/>
  </r>
  <r>
    <x v="0"/>
    <x v="11"/>
    <n v="44561"/>
    <x v="4"/>
    <x v="0"/>
    <x v="25"/>
    <x v="2"/>
    <x v="191"/>
    <s v="(BEKSUL) Xốt ướp sườn bò 290G"/>
    <s v="Hũ"/>
    <n v="21"/>
    <n v="6.09"/>
    <d v="1899-12-30T06:57:36"/>
    <n v="44629"/>
    <s v="Bán NV- Hàng thu hồi NPP Phúc Thịnh"/>
    <n v="372989.29499999998"/>
    <x v="2"/>
    <n v="0"/>
    <n v="0"/>
    <x v="2"/>
    <x v="0"/>
  </r>
  <r>
    <x v="0"/>
    <x v="11"/>
    <n v="44561"/>
    <x v="4"/>
    <x v="0"/>
    <x v="25"/>
    <x v="2"/>
    <x v="192"/>
    <s v="(BEKSUL) Xốt ướp Bulgogi heo 290G"/>
    <s v="Hũ"/>
    <n v="157"/>
    <n v="45.529999999999994"/>
    <d v="1899-12-30T06:57:36"/>
    <n v="44657"/>
    <s v="Bán NV- Hàng thu hồi NPP Phúc Thịnh"/>
    <n v="2911216.9467000002"/>
    <x v="2"/>
    <n v="0"/>
    <n v="0"/>
    <x v="2"/>
    <x v="0"/>
  </r>
  <r>
    <x v="0"/>
    <x v="11"/>
    <n v="44561"/>
    <x v="2"/>
    <x v="0"/>
    <x v="7"/>
    <x v="2"/>
    <x v="148"/>
    <s v="Trà Oolong - Hộp 200G"/>
    <s v="Hộp"/>
    <n v="20"/>
    <n v="4"/>
    <d v="1899-12-30T04:48:00"/>
    <n v="44955"/>
    <s v="Bán NV- Hàng thu hồi NPP Phúc Thịnh"/>
    <n v="1616527.87"/>
    <x v="1"/>
    <n v="0"/>
    <n v="0"/>
    <x v="2"/>
    <x v="0"/>
  </r>
  <r>
    <x v="0"/>
    <x v="11"/>
    <n v="44561"/>
    <x v="2"/>
    <x v="0"/>
    <x v="7"/>
    <x v="2"/>
    <x v="152"/>
    <s v="Trà Oolong – Lon đỏ 150G"/>
    <s v="Lon"/>
    <n v="3"/>
    <n v="0.45"/>
    <d v="1899-12-30T03:36:00"/>
    <n v="44878"/>
    <s v="Bán NV-Satra trả"/>
    <n v="144669.6072"/>
    <x v="2"/>
    <n v="0"/>
    <n v="0"/>
    <x v="2"/>
    <x v="0"/>
  </r>
  <r>
    <x v="0"/>
    <x v="11"/>
    <n v="44561"/>
    <x v="2"/>
    <x v="0"/>
    <x v="7"/>
    <x v="2"/>
    <x v="152"/>
    <s v="Trà Oolong – Lon đỏ 150G"/>
    <s v="Lon"/>
    <n v="52"/>
    <n v="7.8"/>
    <d v="1899-12-30T03:36:00"/>
    <n v="44953"/>
    <s v="Bán NV- Hàng thu hồi NPP Phúc Thịnh"/>
    <n v="2507606.5247999998"/>
    <x v="2"/>
    <n v="0"/>
    <n v="0"/>
    <x v="2"/>
    <x v="0"/>
  </r>
  <r>
    <x v="0"/>
    <x v="11"/>
    <n v="44561"/>
    <x v="4"/>
    <x v="0"/>
    <x v="25"/>
    <x v="2"/>
    <x v="190"/>
    <s v="(BEKSUL) Xốt ướp Bulgogi bò 290G"/>
    <s v="Hũ"/>
    <n v="236"/>
    <n v="68.44"/>
    <d v="1899-12-30T06:57:36"/>
    <n v="44656"/>
    <s v="Bán NV- Hàng thu hồi NPP Phúc Thịnh"/>
    <n v="4025625.1768"/>
    <x v="2"/>
    <n v="0"/>
    <n v="0"/>
    <x v="2"/>
    <x v="0"/>
  </r>
  <r>
    <x v="0"/>
    <x v="11"/>
    <n v="44561"/>
    <x v="2"/>
    <x v="0"/>
    <x v="7"/>
    <x v="2"/>
    <x v="186"/>
    <s v="Trà Oolong túi lọc thường (hộp 25 gói)"/>
    <s v="Hộp"/>
    <n v="252"/>
    <n v="25.200000000000003"/>
    <d v="1899-12-30T02:24:00"/>
    <n v="44854"/>
    <s v="Bán NV- Hàng thu hồi NPP Phúc Thịnh"/>
    <n v="3894519.9887999999"/>
    <x v="2"/>
    <n v="0"/>
    <n v="0"/>
    <x v="2"/>
    <x v="0"/>
  </r>
  <r>
    <x v="0"/>
    <x v="11"/>
    <n v="44561"/>
    <x v="2"/>
    <x v="0"/>
    <x v="52"/>
    <x v="2"/>
    <x v="394"/>
    <s v="Nước trái cây đậm đặc lên men tự nhiên Micho nho xanh 900ml"/>
    <s v="Chai"/>
    <n v="12"/>
    <n v="10.8"/>
    <d v="1899-12-30T21:36:00"/>
    <n v="44831"/>
    <s v="Bán NV- Hàng thu hồi NPP Phúc Thịnh"/>
    <n v="528182.70960000006"/>
    <x v="2"/>
    <n v="0"/>
    <n v="0"/>
    <x v="2"/>
    <x v="0"/>
  </r>
  <r>
    <x v="1"/>
    <x v="2"/>
    <n v="44627"/>
    <x v="8"/>
    <x v="1"/>
    <x v="22"/>
    <x v="3"/>
    <x v="320"/>
    <s v="Sauce Kim chi"/>
    <s v="Kg"/>
    <n v="125"/>
    <n v="125"/>
    <d v="1900-05-04T00:00:00"/>
    <n v="44557"/>
    <s v="quality issue"/>
    <n v="4469665.1960784318"/>
    <x v="0"/>
    <n v="125"/>
    <n v="4469665.1960784318"/>
    <x v="2"/>
    <x v="0"/>
  </r>
  <r>
    <x v="1"/>
    <x v="2"/>
    <n v="44627"/>
    <x v="8"/>
    <x v="1"/>
    <x v="22"/>
    <x v="3"/>
    <x v="320"/>
    <s v="Sauce Kim chi"/>
    <s v="Kg"/>
    <n v="520"/>
    <n v="520"/>
    <d v="1901-06-03T00:00:00"/>
    <n v="44615"/>
    <s v="quality issue"/>
    <n v="18406103.215686277"/>
    <x v="0"/>
    <n v="520"/>
    <n v="18406103.215686277"/>
    <x v="2"/>
    <x v="0"/>
  </r>
  <r>
    <x v="1"/>
    <x v="2"/>
    <n v="44625"/>
    <x v="3"/>
    <x v="0"/>
    <x v="47"/>
    <x v="0"/>
    <x v="42"/>
    <s v="Dưa cải Bibigo 200G"/>
    <s v="Gói"/>
    <n v="1"/>
    <n v="0.2"/>
    <d v="1899-12-30T04:48:00"/>
    <n v="44614"/>
    <s v="lỗi bục- Phát hiện trong kho"/>
    <n v="5980"/>
    <x v="1"/>
    <n v="0"/>
    <n v="0"/>
    <x v="2"/>
    <x v="0"/>
  </r>
  <r>
    <x v="1"/>
    <x v="2"/>
    <n v="44625"/>
    <x v="3"/>
    <x v="0"/>
    <x v="12"/>
    <x v="0"/>
    <x v="41"/>
    <s v="Bibigo Kimchi cải thảo chay 500gr"/>
    <s v="Hộp"/>
    <n v="1"/>
    <n v="0.5"/>
    <d v="1899-12-30T12:00:00"/>
    <n v="44616"/>
    <s v="lỗi vỡ- Phát hiện trong kho"/>
    <n v="24700.036800000002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16"/>
    <s v="lỗi bục- Phát hiện trong kho"/>
    <n v="7139.9988000000003"/>
    <x v="1"/>
    <n v="0"/>
    <n v="0"/>
    <x v="2"/>
    <x v="0"/>
  </r>
  <r>
    <x v="1"/>
    <x v="2"/>
    <n v="44625"/>
    <x v="3"/>
    <x v="0"/>
    <x v="12"/>
    <x v="0"/>
    <x v="30"/>
    <s v="Bibigo Kimchi cải thảo cắt lát 500gr"/>
    <s v="Hộp"/>
    <n v="3"/>
    <n v="1.5"/>
    <d v="1899-12-30T12:00:00"/>
    <n v="44617"/>
    <s v="lỗi vỡ- Phát hiện trong kho"/>
    <n v="73800.03899999999"/>
    <x v="1"/>
    <n v="0"/>
    <n v="0"/>
    <x v="2"/>
    <x v="0"/>
  </r>
  <r>
    <x v="1"/>
    <x v="2"/>
    <n v="44625"/>
    <x v="0"/>
    <x v="0"/>
    <x v="0"/>
    <x v="0"/>
    <x v="245"/>
    <s v="Chả giò REAL thịt – Gói 400g"/>
    <s v="Gói"/>
    <n v="1"/>
    <n v="0.4"/>
    <d v="1899-12-30T09:36:00"/>
    <n v="44912"/>
    <s v="Lỗi rách- Phát hiện khi giao hàng PXK212112/8698"/>
    <n v="35754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6"/>
    <s v="lỗi bục- Phát hiện khi giao hàng PXK212112/9420"/>
    <n v="10960.065500000001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16"/>
    <s v="lỗi bục- Phát hiện khi giao hàng PXK212112T0645"/>
    <n v="7139.9988000000003"/>
    <x v="1"/>
    <n v="0"/>
    <n v="0"/>
    <x v="2"/>
    <x v="0"/>
  </r>
  <r>
    <x v="1"/>
    <x v="2"/>
    <n v="44625"/>
    <x v="4"/>
    <x v="0"/>
    <x v="25"/>
    <x v="0"/>
    <x v="190"/>
    <s v="(BEKSUL) Xốt ướp Bulgogi bò 290G"/>
    <s v="Hũ"/>
    <n v="2"/>
    <n v="0.57999999999999996"/>
    <d v="1899-12-30T06:57:36"/>
    <n v="45027"/>
    <s v="Hàng thiếu trong thùng nguyên- Phát hiện khi giao hàng PXK212112/0183"/>
    <n v="32317.4676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6"/>
    <s v="Lỗi vỡ- Lỗi phát hiện trong kho"/>
    <n v="10960.065500000001"/>
    <x v="1"/>
    <n v="0"/>
    <n v="0"/>
    <x v="2"/>
    <x v="0"/>
  </r>
  <r>
    <x v="1"/>
    <x v="2"/>
    <n v="44625"/>
    <x v="0"/>
    <x v="0"/>
    <x v="3"/>
    <x v="0"/>
    <x v="395"/>
    <s v="Há Cảo Nhân Tôm Củ Dền - Gói 300G"/>
    <s v="GOI"/>
    <n v="1"/>
    <n v="0.3"/>
    <d v="1899-12-30T07:12:00"/>
    <n v="44899"/>
    <s v="Lỗi rách- Lỗi phát hiện trong kho"/>
    <n v="40183.625"/>
    <x v="1"/>
    <n v="0"/>
    <n v="0"/>
    <x v="2"/>
    <x v="0"/>
  </r>
  <r>
    <x v="1"/>
    <x v="2"/>
    <n v="44625"/>
    <x v="0"/>
    <x v="0"/>
    <x v="18"/>
    <x v="0"/>
    <x v="111"/>
    <s v="Bánh Mandu Thịt và Bắp CJ Bibigo – Gói 350g"/>
    <s v="Gói"/>
    <n v="1"/>
    <n v="0.35"/>
    <d v="1899-12-30T08:24:00"/>
    <n v="44887"/>
    <s v="Lỗi bục- Lỗi phát hiện trong kho"/>
    <n v="27240.002499999999"/>
    <x v="1"/>
    <n v="0"/>
    <n v="0"/>
    <x v="2"/>
    <x v="0"/>
  </r>
  <r>
    <x v="1"/>
    <x v="2"/>
    <n v="44625"/>
    <x v="0"/>
    <x v="0"/>
    <x v="18"/>
    <x v="0"/>
    <x v="168"/>
    <s v="Bánh Mandu Thịt CJ Bibigo - Gói 175g"/>
    <s v="Gói"/>
    <n v="1"/>
    <n v="0.17499999999999999"/>
    <d v="1899-12-30T04:12:00"/>
    <n v="44839"/>
    <s v="Lỗi bục mép- Lỗi phát hiện trong kho"/>
    <n v="12920.000700000001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16"/>
    <s v="lỗi bục mép- Lỗi phát hiện trong kho"/>
    <n v="7139.9988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17"/>
    <s v="lỗi bục mép- Lỗi phát hiện trong kho"/>
    <n v="7139.9988000000003"/>
    <x v="1"/>
    <n v="0"/>
    <n v="0"/>
    <x v="2"/>
    <x v="0"/>
  </r>
  <r>
    <x v="1"/>
    <x v="2"/>
    <n v="44625"/>
    <x v="3"/>
    <x v="0"/>
    <x v="12"/>
    <x v="0"/>
    <x v="30"/>
    <s v="Bibigo Kimchi cải thảo cắt lát 500gr"/>
    <s v="Hộp"/>
    <n v="5"/>
    <n v="2.5"/>
    <d v="1899-12-30T12:00:00"/>
    <n v="44617"/>
    <s v="Lỗi vỡ hộp- Lỗi phát hiện trong kho"/>
    <n v="123000.065"/>
    <x v="1"/>
    <n v="0"/>
    <n v="0"/>
    <x v="2"/>
    <x v="0"/>
  </r>
  <r>
    <x v="1"/>
    <x v="2"/>
    <n v="44625"/>
    <x v="3"/>
    <x v="0"/>
    <x v="12"/>
    <x v="0"/>
    <x v="30"/>
    <s v="Bibigo Kimchi cải thảo cắt lát 500gr"/>
    <s v="Hộp"/>
    <n v="1"/>
    <n v="0.5"/>
    <d v="1899-12-30T12:00:00"/>
    <n v="44598"/>
    <s v="Lỗi vỡ hộp- Lỗi phát hiện trong kho"/>
    <n v="24600.012999999999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17"/>
    <s v="lỗi bục mép- Phát hiện khi giao hàng PXK212112T1227"/>
    <n v="7239.9624000000003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880"/>
    <s v="Lỗi vỡ- Phát hiện khi giao hàng PXK212112/9440"/>
    <n v="10960.065500000001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899"/>
    <s v="Lỗi vỡ- Phát hiện khi giao hàng PXK212112/9440"/>
    <n v="10960.065500000001"/>
    <x v="1"/>
    <n v="0"/>
    <n v="0"/>
    <x v="2"/>
    <x v="0"/>
  </r>
  <r>
    <x v="1"/>
    <x v="2"/>
    <n v="44625"/>
    <x v="3"/>
    <x v="0"/>
    <x v="12"/>
    <x v="0"/>
    <x v="5"/>
    <s v="Bibigo Kimchi cải thảo cây 1kg"/>
    <s v="Túi"/>
    <n v="1"/>
    <n v="1"/>
    <d v="1899-12-31T00:00:00"/>
    <n v="44617"/>
    <s v="lỗi bục- Phát hiện khi giao hàng PXK212201/1031"/>
    <n v="48300.041100000002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20"/>
    <s v="Lỗi bục- Phát hiện khi giao hàng PXK212201/0939"/>
    <n v="7239.9624000000003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20"/>
    <s v="Lỗi bục- Phát hiện khi giao hàng PXK212201/1301"/>
    <n v="7239.9624000000003"/>
    <x v="1"/>
    <n v="0"/>
    <n v="0"/>
    <x v="2"/>
    <x v="0"/>
  </r>
  <r>
    <x v="1"/>
    <x v="2"/>
    <n v="44625"/>
    <x v="0"/>
    <x v="0"/>
    <x v="18"/>
    <x v="0"/>
    <x v="88"/>
    <s v="Bánh Mandu Thịt CJ Bibigo – Gói 350g"/>
    <s v="Gói"/>
    <n v="1"/>
    <n v="0.35"/>
    <d v="1899-12-30T08:24:00"/>
    <n v="44841"/>
    <s v="Lỗi bục- Phát hiện khi giao hàng PXK212201/1017"/>
    <n v="26339.990600000001"/>
    <x v="1"/>
    <n v="0"/>
    <n v="0"/>
    <x v="2"/>
    <x v="0"/>
  </r>
  <r>
    <x v="1"/>
    <x v="2"/>
    <n v="44625"/>
    <x v="1"/>
    <x v="0"/>
    <x v="41"/>
    <x v="0"/>
    <x v="385"/>
    <s v="CJ Cau Tre I'm Rice Cơm chiên tỏi Khay 240g"/>
    <s v="Khay"/>
    <n v="1"/>
    <n v="0.24"/>
    <d v="1899-12-30T05:45:36"/>
    <n v="44916"/>
    <s v="Lỗi bục- Phát hiện khi giao hàng PXK212201/3369"/>
    <n v="13795.212299999999"/>
    <x v="1"/>
    <n v="0"/>
    <n v="0"/>
    <x v="2"/>
    <x v="0"/>
  </r>
  <r>
    <x v="1"/>
    <x v="2"/>
    <n v="44625"/>
    <x v="1"/>
    <x v="0"/>
    <x v="41"/>
    <x v="0"/>
    <x v="334"/>
    <s v="CJ Cautre I’m Rice Cơm chiên Kimchi Khay 150g"/>
    <s v="Khay"/>
    <n v="4"/>
    <n v="0.6"/>
    <d v="1899-12-30T03:36:00"/>
    <n v="44868"/>
    <s v="Lỗi vỡ góc hộp- Lỗi phát hiện trong kho"/>
    <n v="41840.004399999998"/>
    <x v="1"/>
    <n v="0"/>
    <n v="0"/>
    <x v="2"/>
    <x v="0"/>
  </r>
  <r>
    <x v="1"/>
    <x v="2"/>
    <n v="44625"/>
    <x v="0"/>
    <x v="0"/>
    <x v="0"/>
    <x v="0"/>
    <x v="135"/>
    <s v="Chả Giò Đặc Biệt Thịt - Gói 500G"/>
    <s v="Gói"/>
    <n v="1"/>
    <n v="0.5"/>
    <d v="1899-12-30T12:00:00"/>
    <n v="44913"/>
    <s v="Lỗi bục- Lỗi phát hiện trong kho"/>
    <n v="37733.599999999999"/>
    <x v="1"/>
    <n v="0"/>
    <n v="0"/>
    <x v="2"/>
    <x v="0"/>
  </r>
  <r>
    <x v="1"/>
    <x v="2"/>
    <n v="44625"/>
    <x v="1"/>
    <x v="0"/>
    <x v="41"/>
    <x v="0"/>
    <x v="385"/>
    <s v="CJ Cau Tre I'm Rice Cơm chiên tỏi Khay 240g"/>
    <s v="Khay"/>
    <n v="1"/>
    <n v="0.24"/>
    <d v="1899-12-30T05:45:36"/>
    <n v="44915"/>
    <s v="Lỗi bục- Phát hiện khi giao hàng PXK212201/3369"/>
    <n v="13795.212299999999"/>
    <x v="1"/>
    <n v="0"/>
    <n v="0"/>
    <x v="2"/>
    <x v="0"/>
  </r>
  <r>
    <x v="1"/>
    <x v="2"/>
    <n v="44625"/>
    <x v="0"/>
    <x v="0"/>
    <x v="18"/>
    <x v="0"/>
    <x v="246"/>
    <s v="Bánh Mandu Thịt và Bắp CJ Bibigo – Gói 175g"/>
    <s v="Gói"/>
    <n v="2"/>
    <n v="0.35"/>
    <d v="1899-12-30T04:12:00"/>
    <n v="44845"/>
    <s v="Lỗi bục mép- Lỗi phát hiện trong kho"/>
    <n v="30440.620200000001"/>
    <x v="1"/>
    <n v="0"/>
    <n v="0"/>
    <x v="2"/>
    <x v="0"/>
  </r>
  <r>
    <x v="1"/>
    <x v="2"/>
    <n v="44625"/>
    <x v="3"/>
    <x v="0"/>
    <x v="47"/>
    <x v="0"/>
    <x v="42"/>
    <s v="Dưa cải Bibigo 200G"/>
    <s v="Gói"/>
    <n v="1"/>
    <n v="0.2"/>
    <d v="1899-12-30T04:48:00"/>
    <n v="44623"/>
    <s v="Lỗi rách- Lỗi phát hiện trong kho"/>
    <n v="5980"/>
    <x v="1"/>
    <n v="0"/>
    <n v="0"/>
    <x v="2"/>
    <x v="0"/>
  </r>
  <r>
    <x v="1"/>
    <x v="2"/>
    <n v="44625"/>
    <x v="3"/>
    <x v="0"/>
    <x v="12"/>
    <x v="0"/>
    <x v="30"/>
    <s v="Bibigo Kimchi cải thảo cắt lát 500gr"/>
    <s v="Hộp"/>
    <n v="1"/>
    <n v="0.5"/>
    <d v="1899-12-30T12:00:00"/>
    <n v="44620"/>
    <s v="Lỗi vỡ hộp- Phát hiện khi giao hàng PXK212201/3559"/>
    <n v="24600.012999999999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20"/>
    <s v="Lỗi bục mép- Lỗi phát hiện trong kho"/>
    <n v="7139.9988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17"/>
    <s v="Lỗi bục mép- Lỗi phát hiện trong kho"/>
    <n v="7139.9988000000003"/>
    <x v="1"/>
    <n v="0"/>
    <n v="0"/>
    <x v="2"/>
    <x v="0"/>
  </r>
  <r>
    <x v="1"/>
    <x v="2"/>
    <n v="44625"/>
    <x v="0"/>
    <x v="0"/>
    <x v="18"/>
    <x v="0"/>
    <x v="129"/>
    <s v="Bánh Mandu Hải sản CJ Bibigo - Gói 175g"/>
    <s v="Gói"/>
    <n v="1"/>
    <n v="0.17499999999999999"/>
    <d v="1899-12-30T04:12:00"/>
    <n v="44846"/>
    <s v="Lỗi bục mép- Lỗi phát hiện trong kho"/>
    <n v="14620.010700000001"/>
    <x v="1"/>
    <n v="0"/>
    <n v="0"/>
    <x v="2"/>
    <x v="0"/>
  </r>
  <r>
    <x v="1"/>
    <x v="2"/>
    <n v="44625"/>
    <x v="0"/>
    <x v="0"/>
    <x v="0"/>
    <x v="0"/>
    <x v="396"/>
    <s v="Nem Real Kiểu Hà Nội Nhân Hải Sản - Gói 360G"/>
    <s v="GOI"/>
    <n v="1"/>
    <n v="0.36"/>
    <d v="1899-12-30T08:38:24"/>
    <n v="44914"/>
    <s v="Lỗi rách- Lỗi phát hiện trong kho"/>
    <n v="33408.46428571429"/>
    <x v="1"/>
    <n v="0"/>
    <n v="0"/>
    <x v="2"/>
    <x v="0"/>
  </r>
  <r>
    <x v="1"/>
    <x v="2"/>
    <n v="44625"/>
    <x v="1"/>
    <x v="0"/>
    <x v="41"/>
    <x v="0"/>
    <x v="334"/>
    <s v="CJ Cautre I’m Rice Cơm chiên Kimchi Khay 150g"/>
    <s v="Khay"/>
    <n v="1"/>
    <n v="0.15"/>
    <d v="1899-12-30T03:36:00"/>
    <n v="44868"/>
    <s v="Lỗi vỡ góc hộp- Lỗi phát hiện trong kho"/>
    <n v="10460.001099999999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6"/>
    <s v="Lỗi vỡ góc hộp- Lỗi phát hiện trong kho"/>
    <n v="10960.065500000001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4"/>
    <s v="lỗi vỡ- Lỗi phát hiện trong kho"/>
    <n v="10960.065500000001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9"/>
    <s v="lỗi vỡ- Lỗi phát hiện trong kho"/>
    <n v="10960.065500000001"/>
    <x v="1"/>
    <n v="0"/>
    <n v="0"/>
    <x v="2"/>
    <x v="0"/>
  </r>
  <r>
    <x v="1"/>
    <x v="2"/>
    <n v="44625"/>
    <x v="0"/>
    <x v="0"/>
    <x v="0"/>
    <x v="0"/>
    <x v="264"/>
    <s v="Chả Giò Rế Hải Sản - Gói 500G"/>
    <s v="Gói"/>
    <n v="1"/>
    <n v="0.5"/>
    <d v="1899-12-30T12:00:00"/>
    <n v="44908"/>
    <s v="Lỗi rách- Lỗi phát hiện trong kho"/>
    <n v="34095.300000000003"/>
    <x v="1"/>
    <n v="0"/>
    <n v="0"/>
    <x v="2"/>
    <x v="0"/>
  </r>
  <r>
    <x v="1"/>
    <x v="2"/>
    <n v="44625"/>
    <x v="3"/>
    <x v="0"/>
    <x v="12"/>
    <x v="0"/>
    <x v="30"/>
    <s v="Bibigo Kimchi cải thảo cắt lát 500gr"/>
    <s v="Hộp"/>
    <n v="1"/>
    <n v="0.5"/>
    <d v="1899-12-30T12:00:00"/>
    <n v="44595"/>
    <s v="Lỗi vỡ hộp- Lỗi phát hiện trong kho"/>
    <n v="24600.012999999999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26"/>
    <s v="Lỗi bục- Phát hiện khi giao hàng PXK212201/1051"/>
    <n v="7239.9624000000003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20"/>
    <s v="Lỗi bục- Lỗi phát hiện trong kho"/>
    <n v="7239.9624000000003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20"/>
    <s v="Lỗi bục- Phát hiện khi giao hàng PXK212201/2054"/>
    <n v="7239.9624000000003"/>
    <x v="1"/>
    <n v="0"/>
    <n v="0"/>
    <x v="2"/>
    <x v="0"/>
  </r>
  <r>
    <x v="1"/>
    <x v="2"/>
    <n v="44625"/>
    <x v="3"/>
    <x v="0"/>
    <x v="12"/>
    <x v="0"/>
    <x v="30"/>
    <s v="Bibigo Kimchi cải thảo cắt lát 500gr"/>
    <s v="Hộp"/>
    <n v="1"/>
    <n v="0.5"/>
    <d v="1899-12-30T12:00:00"/>
    <n v="44617"/>
    <s v="Lỗi vỡ trong thùng nguyên- Phát hiện khi giao hàng PXK212201/3559"/>
    <n v="24600.012999999999"/>
    <x v="1"/>
    <n v="0"/>
    <n v="0"/>
    <x v="2"/>
    <x v="0"/>
  </r>
  <r>
    <x v="1"/>
    <x v="2"/>
    <n v="44625"/>
    <x v="0"/>
    <x v="0"/>
    <x v="18"/>
    <x v="0"/>
    <x v="168"/>
    <s v="Bánh Mandu Thịt CJ Bibigo – Gói 175g"/>
    <s v="Gói"/>
    <n v="1"/>
    <n v="0.17499999999999999"/>
    <d v="1899-12-30T04:12:00"/>
    <n v="44838"/>
    <s v="Lỗi bục- Phát hiện khi giao hàng PXK212201/3672"/>
    <n v="12920.000700000001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26"/>
    <s v="Lỗi bục- Phát hiện khi giao hàng PXK212201/4851"/>
    <n v="7239.9624000000003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2"/>
    <n v="1.7999999999999998"/>
    <d v="1899-12-30T03:36:00"/>
    <n v="44910"/>
    <s v="Lỗi vỡ- Lọc hàng phát hiện"/>
    <n v="131520.78600000002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96"/>
    <n v="14.4"/>
    <d v="1899-12-30T03:36:00"/>
    <n v="44906"/>
    <s v="Lỗi vỡ- Lọc hàng phát hiện"/>
    <n v="1052166.2880000002"/>
    <x v="1"/>
    <n v="0"/>
    <n v="0"/>
    <x v="2"/>
    <x v="0"/>
  </r>
  <r>
    <x v="1"/>
    <x v="2"/>
    <n v="44625"/>
    <x v="0"/>
    <x v="0"/>
    <x v="18"/>
    <x v="0"/>
    <x v="168"/>
    <s v="Bánh Mandu Thịt CJ Bibigo – Gói 175g"/>
    <s v="Gói"/>
    <n v="2"/>
    <n v="0.35"/>
    <d v="1899-12-30T04:12:00"/>
    <n v="44839"/>
    <s v="Lỗi rách- Phát hiện khi giao hàng PXK212201/6285"/>
    <n v="25840.001400000001"/>
    <x v="1"/>
    <n v="0"/>
    <n v="0"/>
    <x v="2"/>
    <x v="0"/>
  </r>
  <r>
    <x v="1"/>
    <x v="2"/>
    <n v="44625"/>
    <x v="0"/>
    <x v="0"/>
    <x v="18"/>
    <x v="0"/>
    <x v="129"/>
    <s v="Bánh Mandu Hải sản CJ Bibigo - Gói 175g"/>
    <s v="Gói"/>
    <n v="1"/>
    <n v="0.17499999999999999"/>
    <d v="1899-12-30T04:12:00"/>
    <n v="44846"/>
    <s v="Lỗi bục- Lỗi phát hiện trong kho"/>
    <n v="14620.010700000001"/>
    <x v="1"/>
    <n v="0"/>
    <n v="0"/>
    <x v="2"/>
    <x v="0"/>
  </r>
  <r>
    <x v="1"/>
    <x v="2"/>
    <n v="44625"/>
    <x v="0"/>
    <x v="0"/>
    <x v="18"/>
    <x v="0"/>
    <x v="129"/>
    <s v="Bánh Mandu Hải sản CJ Bibigo - Gói 175g"/>
    <s v="Gói"/>
    <n v="1"/>
    <n v="0.17499999999999999"/>
    <d v="1899-12-30T04:12:00"/>
    <n v="44846"/>
    <s v="Lỗi bục- Giao hàng phát hiện"/>
    <n v="14620.010700000001"/>
    <x v="1"/>
    <n v="0"/>
    <n v="0"/>
    <x v="2"/>
    <x v="0"/>
  </r>
  <r>
    <x v="1"/>
    <x v="2"/>
    <n v="44625"/>
    <x v="0"/>
    <x v="0"/>
    <x v="0"/>
    <x v="0"/>
    <x v="264"/>
    <s v="Chả Giò Rế Hải Sản - Gói 500G"/>
    <s v="Gói"/>
    <n v="3"/>
    <n v="1.5"/>
    <d v="1899-12-30T12:00:00"/>
    <n v="44924"/>
    <s v="Lỗi rách- Lỗi phát hiện trong kho"/>
    <n v="102285.9"/>
    <x v="1"/>
    <n v="0"/>
    <n v="0"/>
    <x v="2"/>
    <x v="0"/>
  </r>
  <r>
    <x v="1"/>
    <x v="2"/>
    <n v="44625"/>
    <x v="1"/>
    <x v="0"/>
    <x v="41"/>
    <x v="0"/>
    <x v="334"/>
    <s v="CJ Cautre I’m Rice Cơm chiên Kimchi Khay 150g"/>
    <s v="Khay"/>
    <n v="2"/>
    <n v="0.3"/>
    <d v="1899-12-30T03:36:00"/>
    <n v="44868"/>
    <s v="Lỗi rách- Lỗi phát hiện trong kho"/>
    <n v="20920.002199999999"/>
    <x v="1"/>
    <n v="0"/>
    <n v="0"/>
    <x v="2"/>
    <x v="0"/>
  </r>
  <r>
    <x v="1"/>
    <x v="2"/>
    <n v="44625"/>
    <x v="1"/>
    <x v="0"/>
    <x v="41"/>
    <x v="0"/>
    <x v="334"/>
    <s v="CJ Cautre I’m Rice Cơm chiên Kimchi Khay 150g"/>
    <s v="Khay"/>
    <n v="2"/>
    <n v="0.3"/>
    <d v="1899-12-30T03:36:00"/>
    <n v="44877"/>
    <s v="Lỗi rách- Lỗi phát hiện trong kho"/>
    <n v="20920.002199999999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0"/>
    <n v="1.5"/>
    <d v="1899-12-30T03:36:00"/>
    <n v="44906"/>
    <s v="Lỗi vỡ- Phát hiện khi giao hàng PXK212201/6410"/>
    <n v="109600.655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26"/>
    <s v="Lỗi bục- Lỗi phát hiện trong kho"/>
    <n v="7239.9624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5"/>
    <n v="0.5"/>
    <d v="1899-12-30T02:24:00"/>
    <n v="44625"/>
    <s v="Lỗi bục- Lỗi phát hiện trong kho"/>
    <n v="35699.993999999999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20"/>
    <s v="Lỗi bục- Lỗi phát hiện trong kho"/>
    <n v="7139.9988000000003"/>
    <x v="1"/>
    <n v="0"/>
    <n v="0"/>
    <x v="2"/>
    <x v="0"/>
  </r>
  <r>
    <x v="1"/>
    <x v="2"/>
    <n v="44625"/>
    <x v="3"/>
    <x v="0"/>
    <x v="12"/>
    <x v="0"/>
    <x v="30"/>
    <s v="Bibigo Kimchi cải thảo cắt lát 500gr"/>
    <s v="Hộp"/>
    <n v="1"/>
    <n v="0.5"/>
    <d v="1899-12-30T12:00:00"/>
    <n v="44625"/>
    <s v="Lỗi vỡ hộp- Phát hiện khi giao hàng PXK212201/6779"/>
    <n v="24600.012999999999"/>
    <x v="1"/>
    <n v="0"/>
    <n v="0"/>
    <x v="2"/>
    <x v="0"/>
  </r>
  <r>
    <x v="1"/>
    <x v="2"/>
    <n v="44625"/>
    <x v="0"/>
    <x v="0"/>
    <x v="18"/>
    <x v="0"/>
    <x v="129"/>
    <s v="Bánh Mandu Hải sản CJ Bibigo - Gói 175g"/>
    <s v="Gói"/>
    <n v="1"/>
    <n v="0.17499999999999999"/>
    <d v="1899-12-30T04:12:00"/>
    <n v="44846"/>
    <s v="Lỗi bục mép- Phát hiện khi giao hàng PXK212201/6669"/>
    <n v="14620.010700000001"/>
    <x v="1"/>
    <n v="0"/>
    <n v="0"/>
    <x v="2"/>
    <x v="0"/>
  </r>
  <r>
    <x v="1"/>
    <x v="2"/>
    <n v="44625"/>
    <x v="0"/>
    <x v="0"/>
    <x v="18"/>
    <x v="0"/>
    <x v="168"/>
    <s v="Bánh Mandu Thịt CJ Bibigo – Gói 175g"/>
    <s v="Gói"/>
    <n v="1"/>
    <n v="0.17499999999999999"/>
    <d v="1899-12-30T04:12:00"/>
    <n v="44840"/>
    <s v="Lỗi bục- Phát hiện khi giao hàng PXK212201/7143"/>
    <n v="12920.000700000001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34"/>
    <s v="Lỗi bục- Phát hiện khi giao hàng PXK212201/7927"/>
    <n v="7239.9624000000003"/>
    <x v="1"/>
    <n v="0"/>
    <n v="0"/>
    <x v="2"/>
    <x v="0"/>
  </r>
  <r>
    <x v="1"/>
    <x v="2"/>
    <n v="44625"/>
    <x v="0"/>
    <x v="0"/>
    <x v="18"/>
    <x v="0"/>
    <x v="129"/>
    <s v="Bánh Mandu Hải sản CJ Bibigo - Gói 175g"/>
    <s v="Gói"/>
    <n v="1"/>
    <n v="0.17499999999999999"/>
    <d v="1899-12-30T04:12:00"/>
    <n v="44846"/>
    <s v="Lỗi bục- Phát hiện khi giao hàng PXK212201/8827"/>
    <n v="14620.010700000001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33"/>
    <s v="Lỗi bục- Phát hiện khi giao hàng PXK212201/8501"/>
    <n v="7139.9988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2"/>
    <n v="0.2"/>
    <d v="1899-12-30T02:24:00"/>
    <n v="44634"/>
    <s v="Lỗi bục- Phát hiện khi giao hàng PXK212201/8728"/>
    <n v="14279.997600000001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38"/>
    <s v="Lỗi bục- Lỗi phát hiện trong kho"/>
    <n v="7239.9624000000003"/>
    <x v="1"/>
    <n v="0"/>
    <n v="0"/>
    <x v="2"/>
    <x v="0"/>
  </r>
  <r>
    <x v="1"/>
    <x v="2"/>
    <n v="44625"/>
    <x v="6"/>
    <x v="0"/>
    <x v="8"/>
    <x v="0"/>
    <x v="59"/>
    <s v="Snack Rong biển Bibigo vị truyền thống 25gr"/>
    <s v="Gói"/>
    <n v="1"/>
    <n v="2.5000000000000001E-2"/>
    <d v="1899-12-30T00:36:00"/>
    <m/>
    <s v="Lỗi không in NSX &amp; HSD- Lỗi phát hiện trong kho"/>
    <n v="10508.071099999999"/>
    <x v="1"/>
    <n v="0"/>
    <n v="0"/>
    <x v="2"/>
    <x v="0"/>
  </r>
  <r>
    <x v="1"/>
    <x v="2"/>
    <n v="44625"/>
    <x v="1"/>
    <x v="0"/>
    <x v="41"/>
    <x v="0"/>
    <x v="385"/>
    <s v="CJ Cau Tre I'm Rice Cơm chiên tỏi Khay 240g"/>
    <s v="Khay"/>
    <n v="1"/>
    <n v="0.24"/>
    <d v="1899-12-30T05:45:36"/>
    <n v="44893"/>
    <s v="Lỗi vỡ góc hộp- Lỗi phát hiện trong kho"/>
    <n v="13795.212299999999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9"/>
    <s v="Lỗi vỡ góc hộp- Lỗi phát hiện trong kho"/>
    <n v="10960.065500000001"/>
    <x v="1"/>
    <n v="0"/>
    <n v="0"/>
    <x v="2"/>
    <x v="0"/>
  </r>
  <r>
    <x v="1"/>
    <x v="2"/>
    <n v="44625"/>
    <x v="0"/>
    <x v="0"/>
    <x v="0"/>
    <x v="0"/>
    <x v="396"/>
    <s v="Nem Real Kiểu Hà Nội Nhân Hải Sản - Gói 360G"/>
    <s v="GOI"/>
    <n v="1"/>
    <n v="0.36"/>
    <d v="1899-12-30T08:38:24"/>
    <n v="44902"/>
    <s v="Lỗi rách- Lỗi phát hiện trong kho"/>
    <n v="33408.46428571429"/>
    <x v="1"/>
    <n v="0"/>
    <n v="0"/>
    <x v="2"/>
    <x v="0"/>
  </r>
  <r>
    <x v="1"/>
    <x v="2"/>
    <n v="44625"/>
    <x v="5"/>
    <x v="0"/>
    <x v="16"/>
    <x v="0"/>
    <x v="231"/>
    <s v="Cá viên - Gói 250G"/>
    <s v="Gói"/>
    <n v="1"/>
    <n v="0.25"/>
    <d v="1899-12-30T06:00:00"/>
    <n v="44929"/>
    <s v="Lỗi rách- Lỗi phát hiện trong kho"/>
    <n v="16500"/>
    <x v="1"/>
    <n v="0"/>
    <n v="0"/>
    <x v="2"/>
    <x v="0"/>
  </r>
  <r>
    <x v="1"/>
    <x v="2"/>
    <n v="44625"/>
    <x v="0"/>
    <x v="0"/>
    <x v="0"/>
    <x v="0"/>
    <x v="337"/>
    <s v="Nem Real Kiểu Hà Nội Nhân Thịt - Gói 360G"/>
    <s v="Gói"/>
    <n v="1"/>
    <n v="0.36"/>
    <d v="1899-12-30T08:38:24"/>
    <n v="44897"/>
    <s v="Lỗi rách- Lỗi phát hiện trong kho"/>
    <n v="30464.021400000001"/>
    <x v="1"/>
    <n v="0"/>
    <n v="0"/>
    <x v="2"/>
    <x v="0"/>
  </r>
  <r>
    <x v="1"/>
    <x v="2"/>
    <n v="44625"/>
    <x v="0"/>
    <x v="0"/>
    <x v="0"/>
    <x v="0"/>
    <x v="264"/>
    <s v="Chả Giò Rế Hải Sản - Gói 500G"/>
    <s v="Gói"/>
    <n v="1"/>
    <n v="0.5"/>
    <d v="1899-12-30T12:00:00"/>
    <n v="44922"/>
    <s v="Lỗi rách- Lỗi phát hiện trong kho"/>
    <n v="34095.300000000003"/>
    <x v="1"/>
    <n v="0"/>
    <n v="0"/>
    <x v="2"/>
    <x v="0"/>
  </r>
  <r>
    <x v="1"/>
    <x v="2"/>
    <n v="44625"/>
    <x v="5"/>
    <x v="0"/>
    <x v="48"/>
    <x v="0"/>
    <x v="397"/>
    <s v="Nem Nướng (Xiên Que) - Gói 400G"/>
    <s v="Gói"/>
    <n v="1"/>
    <n v="0.4"/>
    <d v="1899-12-30T09:36:00"/>
    <n v="44922"/>
    <s v="Lỗi rách- Lỗi phát hiện trong kho"/>
    <n v="38167.428800000002"/>
    <x v="1"/>
    <n v="0"/>
    <n v="0"/>
    <x v="2"/>
    <x v="0"/>
  </r>
  <r>
    <x v="1"/>
    <x v="2"/>
    <n v="44625"/>
    <x v="0"/>
    <x v="0"/>
    <x v="18"/>
    <x v="0"/>
    <x v="168"/>
    <s v="Bánh Mandu Thịt CJ Bibigo – Gói 175g"/>
    <s v="Gói"/>
    <n v="1"/>
    <n v="0.17499999999999999"/>
    <d v="1899-12-30T04:12:00"/>
    <n v="44839"/>
    <s v="Lỗi bục- Lỗi phát hiện trong kho"/>
    <n v="12920.000700000001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34"/>
    <s v="Lỗi bục- Lỗi phát hiện trong kho"/>
    <n v="7239.9624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34"/>
    <s v="Lỗi bục- Lỗi phát hiện trong kho"/>
    <n v="7139.9988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38"/>
    <s v="Lỗi bục- Phát hiện khi giao hàng PXK212201T1357"/>
    <n v="7139.9988000000003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10"/>
    <s v="Lỗi vỡ- Lỗi phát hiện trong kho"/>
    <n v="10960.065500000001"/>
    <x v="1"/>
    <n v="0"/>
    <n v="0"/>
    <x v="2"/>
    <x v="0"/>
  </r>
  <r>
    <x v="1"/>
    <x v="2"/>
    <n v="44625"/>
    <x v="1"/>
    <x v="0"/>
    <x v="41"/>
    <x v="0"/>
    <x v="334"/>
    <s v="CJ Cautre I’m Rice Cơm chiên Kimchi Khay 150g"/>
    <s v="Khay"/>
    <n v="1"/>
    <n v="0.15"/>
    <d v="1899-12-30T03:36:00"/>
    <n v="44877"/>
    <s v="Lỗi vỡ- Lỗi phát hiện trong kho"/>
    <n v="10460.001099999999"/>
    <x v="1"/>
    <n v="0"/>
    <n v="0"/>
    <x v="2"/>
    <x v="0"/>
  </r>
  <r>
    <x v="1"/>
    <x v="2"/>
    <n v="44625"/>
    <x v="0"/>
    <x v="0"/>
    <x v="18"/>
    <x v="0"/>
    <x v="62"/>
    <s v="Bánh Mandu Thịt CJ Bibigo - gói 1.505kg- Thùng 9,03 kg"/>
    <s v="Gói"/>
    <n v="2"/>
    <n v="3.01"/>
    <d v="1899-12-31T12:07:12"/>
    <n v="44885"/>
    <s v="Lỗi rách bao bì, rách lớn- Lỗi phát hiện trong kho"/>
    <n v="204536.50760000001"/>
    <x v="1"/>
    <n v="0"/>
    <n v="0"/>
    <x v="2"/>
    <x v="0"/>
  </r>
  <r>
    <x v="1"/>
    <x v="2"/>
    <n v="44625"/>
    <x v="0"/>
    <x v="0"/>
    <x v="18"/>
    <x v="0"/>
    <x v="62"/>
    <s v="Bánh Mandu Thịt CJ Bibigo - gói 1.505kg- Thùng 9,03 kg"/>
    <s v="Gói"/>
    <n v="4"/>
    <n v="6.02"/>
    <d v="1899-12-31T12:07:12"/>
    <n v="44885"/>
    <s v="Lỗi rách bao bì, rách nhỏ- Lỗi phát hiện trong kho"/>
    <n v="409073.01520000002"/>
    <x v="2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33"/>
    <s v="lỗi bục- Lỗi phát hiện trong kho"/>
    <n v="7139.9988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44"/>
    <s v="lỗi bục- Lỗi phát hiện trong kho"/>
    <n v="7139.9988000000003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9"/>
    <s v="Lỗi vỡ góc- Lỗi phát hiện trong kho"/>
    <n v="10960.065500000001"/>
    <x v="1"/>
    <n v="0"/>
    <n v="0"/>
    <x v="2"/>
    <x v="0"/>
  </r>
  <r>
    <x v="1"/>
    <x v="2"/>
    <n v="44625"/>
    <x v="0"/>
    <x v="0"/>
    <x v="0"/>
    <x v="0"/>
    <x v="338"/>
    <s v="Chả Giò - Gói 500G"/>
    <s v="Gói"/>
    <n v="1"/>
    <n v="0.5"/>
    <d v="1899-12-30T12:00:00"/>
    <n v="44923"/>
    <s v="Lỗi rách- Lỗi phát hiện trong kho"/>
    <n v="24300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58"/>
    <s v="Lỗi bục- Phát hiện khi giao hàng PXK212202/2764"/>
    <n v="7239.9624000000003"/>
    <x v="1"/>
    <n v="0"/>
    <n v="0"/>
    <x v="2"/>
    <x v="0"/>
  </r>
  <r>
    <x v="1"/>
    <x v="2"/>
    <n v="44625"/>
    <x v="0"/>
    <x v="0"/>
    <x v="0"/>
    <x v="0"/>
    <x v="338"/>
    <s v="Chả Giò - Gói 500G"/>
    <s v="Gói"/>
    <n v="2"/>
    <n v="1"/>
    <d v="1899-12-30T12:00:00"/>
    <n v="44923"/>
    <s v="Lỗi rách- Lỗi phát hiện trong kho"/>
    <n v="48600"/>
    <x v="1"/>
    <n v="0"/>
    <n v="0"/>
    <x v="2"/>
    <x v="0"/>
  </r>
  <r>
    <x v="1"/>
    <x v="2"/>
    <n v="44625"/>
    <x v="1"/>
    <x v="0"/>
    <x v="41"/>
    <x v="0"/>
    <x v="334"/>
    <s v="CJ Cautre I’m Rice Cơm chiên Kimchi Khay 150g"/>
    <s v="Khay"/>
    <n v="1"/>
    <n v="0.15"/>
    <d v="1899-12-30T03:36:00"/>
    <n v="44897"/>
    <s v="Lỗi vỡ - Lỗi phát hiện trong kho"/>
    <n v="10460.001099999999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1"/>
    <n v="0.15"/>
    <d v="1899-12-30T03:36:00"/>
    <n v="44906"/>
    <s v="Lỗi vỡ - Lỗi phát hiện trong kho"/>
    <n v="10960.065500000001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58"/>
    <s v="Lỗi bục- Phát hiện khi giao hàng PXK212202/2814"/>
    <n v="7139.9988000000003"/>
    <x v="1"/>
    <n v="0"/>
    <n v="0"/>
    <x v="2"/>
    <x v="0"/>
  </r>
  <r>
    <x v="1"/>
    <x v="2"/>
    <n v="44625"/>
    <x v="0"/>
    <x v="0"/>
    <x v="0"/>
    <x v="0"/>
    <x v="337"/>
    <s v="Nem Real Kiểu Hà Nội Nhân Thịt - Gói 360G"/>
    <s v="Gói"/>
    <n v="1"/>
    <n v="0.36"/>
    <d v="1899-12-30T08:38:24"/>
    <n v="44939"/>
    <s v="lỗi bục- Phát hiện khi giao hàng PXK212202/7184"/>
    <n v="30464.021400000001"/>
    <x v="1"/>
    <n v="0"/>
    <n v="0"/>
    <x v="2"/>
    <x v="0"/>
  </r>
  <r>
    <x v="1"/>
    <x v="2"/>
    <n v="44625"/>
    <x v="3"/>
    <x v="0"/>
    <x v="12"/>
    <x v="0"/>
    <x v="41"/>
    <s v="Bibigo Kimchi cải thảo chay 500gr"/>
    <s v="Hộp"/>
    <n v="1"/>
    <n v="0.5"/>
    <d v="1899-12-30T12:00:00"/>
    <n v="44662"/>
    <s v="Lỗi vỡ- Lỗi phát hiện trong kho"/>
    <n v="24700.036800000002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2"/>
    <n v="0.3"/>
    <d v="1899-12-30T03:36:00"/>
    <n v="44921"/>
    <s v="Lỗi vỡ góc- Lỗi phát hiện trong kho"/>
    <n v="21920.131000000001"/>
    <x v="1"/>
    <n v="0"/>
    <n v="0"/>
    <x v="2"/>
    <x v="0"/>
  </r>
  <r>
    <x v="1"/>
    <x v="2"/>
    <n v="44625"/>
    <x v="1"/>
    <x v="0"/>
    <x v="41"/>
    <x v="0"/>
    <x v="333"/>
    <s v="CJ Cautre I'm Rice Cơm chiên hải sản khay 150g"/>
    <s v="Khay"/>
    <n v="3"/>
    <n v="0.45"/>
    <d v="1899-12-30T03:36:00"/>
    <n v="44924"/>
    <s v="Lỗi vỡ góc- Lỗi phát hiện trong kho"/>
    <n v="32880.196500000005"/>
    <x v="1"/>
    <n v="0"/>
    <n v="0"/>
    <x v="2"/>
    <x v="0"/>
  </r>
  <r>
    <x v="1"/>
    <x v="2"/>
    <n v="44625"/>
    <x v="0"/>
    <x v="0"/>
    <x v="0"/>
    <x v="0"/>
    <x v="135"/>
    <s v="Chả Giò Đặc Biệt Thịt - Gói 500G"/>
    <s v="Gói"/>
    <n v="1"/>
    <n v="0.5"/>
    <d v="1899-12-30T12:00:00"/>
    <n v="44925"/>
    <s v="Lỗi rách- Lỗi phát hiện trong kho"/>
    <n v="37733.599999999999"/>
    <x v="1"/>
    <n v="0"/>
    <n v="0"/>
    <x v="2"/>
    <x v="0"/>
  </r>
  <r>
    <x v="1"/>
    <x v="2"/>
    <n v="44625"/>
    <x v="0"/>
    <x v="0"/>
    <x v="3"/>
    <x v="0"/>
    <x v="125"/>
    <s v="Há Cảo CTE Mini - Gói 500g"/>
    <s v="Gói"/>
    <n v="1"/>
    <n v="0.5"/>
    <d v="1899-12-30T12:00:00"/>
    <n v="44938"/>
    <s v="Lỗi rách- Lỗi phát hiện trong kho"/>
    <n v="36052"/>
    <x v="1"/>
    <n v="0"/>
    <n v="0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58"/>
    <s v="Lỗi bục- Lỗi phát hiện trong kho"/>
    <n v="7239.9624000000003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2"/>
    <n v="0.2"/>
    <d v="1899-12-30T02:24:00"/>
    <n v="44662"/>
    <s v="Lỗi bục- Lỗi phát hiện trong kho"/>
    <n v="14279.997600000001"/>
    <x v="1"/>
    <n v="0"/>
    <n v="0"/>
    <x v="2"/>
    <x v="0"/>
  </r>
  <r>
    <x v="1"/>
    <x v="2"/>
    <n v="44625"/>
    <x v="5"/>
    <x v="0"/>
    <x v="16"/>
    <x v="0"/>
    <x v="217"/>
    <s v="Bò viên Cầu Tre - Gói 200G"/>
    <s v="Gói"/>
    <n v="4"/>
    <n v="0.8"/>
    <d v="1899-12-30T04:48:00"/>
    <n v="44950"/>
    <s v="Long chân không- Lỗi phát hiện trong kho"/>
    <n v="113742.77777777778"/>
    <x v="1"/>
    <n v="0"/>
    <n v="0"/>
    <x v="2"/>
    <x v="0"/>
  </r>
  <r>
    <x v="1"/>
    <x v="2"/>
    <n v="44625"/>
    <x v="5"/>
    <x v="0"/>
    <x v="16"/>
    <x v="0"/>
    <x v="384"/>
    <s v="Lẩu thả Long Cung 300g"/>
    <s v="Gói"/>
    <n v="1"/>
    <n v="0.3"/>
    <d v="1899-12-30T07:12:00"/>
    <n v="44946"/>
    <s v="Lỗi rách- Lỗi phát hiện trong kho"/>
    <n v="25136.260869565216"/>
    <x v="1"/>
    <n v="0"/>
    <n v="0"/>
    <x v="2"/>
    <x v="0"/>
  </r>
  <r>
    <x v="1"/>
    <x v="2"/>
    <n v="44625"/>
    <x v="0"/>
    <x v="0"/>
    <x v="18"/>
    <x v="0"/>
    <x v="168"/>
    <s v="Bánh Mandu Thịt CJ Bibigo – Gói 175g"/>
    <s v="Gói"/>
    <n v="1"/>
    <n v="0.17499999999999999"/>
    <d v="1899-12-30T04:12:00"/>
    <n v="44839"/>
    <s v="Lỗi rách- Lỗi phát hiện trong kho"/>
    <n v="12920.000700000001"/>
    <x v="1"/>
    <n v="0"/>
    <n v="0"/>
    <x v="2"/>
    <x v="0"/>
  </r>
  <r>
    <x v="1"/>
    <x v="2"/>
    <n v="44625"/>
    <x v="0"/>
    <x v="0"/>
    <x v="18"/>
    <x v="0"/>
    <x v="168"/>
    <s v="Bánh Mandu Thịt CJ Bibigo – Gói 175g"/>
    <s v="Gói"/>
    <n v="1"/>
    <n v="0.17499999999999999"/>
    <d v="1899-12-30T04:12:00"/>
    <n v="44840"/>
    <s v="Lỗi rách- Lỗi phát hiện trong kho"/>
    <n v="12920.000700000001"/>
    <x v="1"/>
    <n v="0"/>
    <n v="0"/>
    <x v="2"/>
    <x v="0"/>
  </r>
  <r>
    <x v="1"/>
    <x v="2"/>
    <n v="44625"/>
    <x v="0"/>
    <x v="0"/>
    <x v="18"/>
    <x v="0"/>
    <x v="129"/>
    <s v="Bánh Mandu Hải sản CJ Bibigo - Gói 175g"/>
    <s v="Gói"/>
    <n v="1"/>
    <n v="0.17499999999999999"/>
    <d v="1899-12-30T04:12:00"/>
    <n v="44846"/>
    <s v="Lỗi bục- Phát hiện khi giao hàng PXK212202/9042"/>
    <n v="14620.010700000001"/>
    <x v="1"/>
    <n v="0"/>
    <n v="0"/>
    <x v="2"/>
    <x v="0"/>
  </r>
  <r>
    <x v="1"/>
    <x v="2"/>
    <n v="44625"/>
    <x v="0"/>
    <x v="0"/>
    <x v="18"/>
    <x v="2"/>
    <x v="58"/>
    <s v="BIBIGO bánh xếp vị Kimchi  420G"/>
    <s v="Gói"/>
    <n v="1"/>
    <n v="0.42"/>
    <d v="1899-12-30T10:04:48"/>
    <n v="44827"/>
    <s v="Rách"/>
    <n v="37533"/>
    <x v="0"/>
    <n v="1"/>
    <n v="37533"/>
    <x v="2"/>
    <x v="0"/>
  </r>
  <r>
    <x v="1"/>
    <x v="2"/>
    <n v="44625"/>
    <x v="5"/>
    <x v="0"/>
    <x v="16"/>
    <x v="2"/>
    <x v="263"/>
    <s v="Cá viên rau củ Cầu Tre 500g"/>
    <s v="Túi"/>
    <n v="7"/>
    <n v="3.5"/>
    <d v="1899-12-30T12:00:00"/>
    <n v="44629"/>
    <s v="Rách"/>
    <n v="152049"/>
    <x v="0"/>
    <n v="7"/>
    <n v="152049"/>
    <x v="2"/>
    <x v="0"/>
  </r>
  <r>
    <x v="1"/>
    <x v="2"/>
    <n v="44625"/>
    <x v="0"/>
    <x v="0"/>
    <x v="18"/>
    <x v="2"/>
    <x v="62"/>
    <s v="Bánh Mandu Thịt CJ Bibigo - gói 1.505kg- Thùng 9,03 kg"/>
    <s v="Gói"/>
    <n v="2"/>
    <n v="3.01"/>
    <d v="1899-12-31T12:07:12"/>
    <n v="44567"/>
    <s v="NPP trả về không đạt"/>
    <n v="204536.50760000001"/>
    <x v="0"/>
    <n v="2"/>
    <n v="204536.50760000001"/>
    <x v="2"/>
    <x v="0"/>
  </r>
  <r>
    <x v="1"/>
    <x v="2"/>
    <n v="44625"/>
    <x v="0"/>
    <x v="0"/>
    <x v="18"/>
    <x v="2"/>
    <x v="62"/>
    <s v="Bánh Mandu Thịt CJ Bibigo - gói 1.505kg- Thùng 9,03 kg"/>
    <s v="Gói"/>
    <n v="2"/>
    <n v="3.01"/>
    <d v="1899-12-31T12:07:12"/>
    <n v="44645"/>
    <s v="NPP trả về không đạt"/>
    <n v="204536.50760000001"/>
    <x v="0"/>
    <n v="2"/>
    <n v="204536.50760000001"/>
    <x v="2"/>
    <x v="0"/>
  </r>
  <r>
    <x v="1"/>
    <x v="2"/>
    <n v="44625"/>
    <x v="0"/>
    <x v="0"/>
    <x v="18"/>
    <x v="2"/>
    <x v="62"/>
    <s v="Bánh Mandu Thịt CJ Bibigo - gói 1.505kg- Thùng 9,03 kg"/>
    <s v="Gói"/>
    <n v="1"/>
    <n v="1.5049999999999999"/>
    <d v="1899-12-31T12:07:12"/>
    <n v="44678"/>
    <s v="NPP trả về không đạt"/>
    <n v="102268.25380000001"/>
    <x v="0"/>
    <n v="1"/>
    <n v="102268.25380000001"/>
    <x v="2"/>
    <x v="0"/>
  </r>
  <r>
    <x v="1"/>
    <x v="2"/>
    <n v="44625"/>
    <x v="0"/>
    <x v="0"/>
    <x v="18"/>
    <x v="2"/>
    <x v="62"/>
    <s v="Bánh Mandu Thịt CJ Bibigo - gói 1.505kg- Thùng 9,03 kg"/>
    <s v="Gói"/>
    <n v="9"/>
    <n v="13.544999999999998"/>
    <d v="1899-12-31T12:07:12"/>
    <n v="44761"/>
    <s v="Các cửa hàng Ministop trả về ko đạt"/>
    <n v="920414.28420000011"/>
    <x v="0"/>
    <n v="9"/>
    <n v="920414.28420000011"/>
    <x v="2"/>
    <x v="0"/>
  </r>
  <r>
    <x v="1"/>
    <x v="2"/>
    <n v="44625"/>
    <x v="0"/>
    <x v="0"/>
    <x v="18"/>
    <x v="2"/>
    <x v="62"/>
    <s v="Bánh Mandu Thịt CJ Bibigo - gói 1.505kg- Thùng 9,03 kg"/>
    <s v="Gói"/>
    <n v="4"/>
    <n v="6.02"/>
    <d v="1899-12-31T12:07:12"/>
    <n v="44810"/>
    <s v="Rách"/>
    <n v="409073.01520000002"/>
    <x v="0"/>
    <n v="4"/>
    <n v="409073.01520000002"/>
    <x v="2"/>
    <x v="0"/>
  </r>
  <r>
    <x v="1"/>
    <x v="2"/>
    <n v="44625"/>
    <x v="0"/>
    <x v="0"/>
    <x v="18"/>
    <x v="2"/>
    <x v="62"/>
    <s v="Bánh Mandu Thịt CJ Bibigo - gói 1.505kg- Thùng 9,03 kg"/>
    <s v="Gói"/>
    <n v="7"/>
    <n v="10.535"/>
    <d v="1899-12-31T12:07:12"/>
    <n v="44840"/>
    <s v="Rách"/>
    <n v="715877.77659999998"/>
    <x v="0"/>
    <n v="7"/>
    <n v="715877.77659999998"/>
    <x v="2"/>
    <x v="0"/>
  </r>
  <r>
    <x v="1"/>
    <x v="2"/>
    <n v="44625"/>
    <x v="0"/>
    <x v="0"/>
    <x v="18"/>
    <x v="2"/>
    <x v="62"/>
    <s v="Bánh Mandu Thịt CJ Bibigo - gói 1.505kg- Thùng 9,03 kg"/>
    <s v="Gói"/>
    <n v="133"/>
    <n v="200.16499999999999"/>
    <d v="1899-12-31T12:07:12"/>
    <n v="44885"/>
    <s v="Rách"/>
    <n v="13601677.7554"/>
    <x v="0"/>
    <n v="133"/>
    <n v="13601677.7554"/>
    <x v="2"/>
    <x v="0"/>
  </r>
  <r>
    <x v="1"/>
    <x v="2"/>
    <n v="44625"/>
    <x v="0"/>
    <x v="0"/>
    <x v="18"/>
    <x v="2"/>
    <x v="62"/>
    <s v="Bánh Mandu Thịt CJ Bibigo - gói 1.505kg- Thùng 9,03 kg"/>
    <s v="Gói"/>
    <n v="30"/>
    <n v="45.15"/>
    <d v="1899-12-31T12:07:12"/>
    <n v="44901"/>
    <s v="Rách"/>
    <n v="3068047.6140000001"/>
    <x v="0"/>
    <n v="30"/>
    <n v="3068047.6140000001"/>
    <x v="2"/>
    <x v="0"/>
  </r>
  <r>
    <x v="1"/>
    <x v="2"/>
    <n v="44625"/>
    <x v="0"/>
    <x v="0"/>
    <x v="18"/>
    <x v="2"/>
    <x v="151"/>
    <s v="Bánh Mandu Thịt và Bắp CJ Bibigo - Gói 1.505Kg - Thùng 9,03Kg"/>
    <s v="Gói"/>
    <n v="11"/>
    <n v="16.555"/>
    <d v="1899-12-31T12:07:12"/>
    <n v="44670"/>
    <s v="NPP trả về không đạt"/>
    <n v="1210168.7714285713"/>
    <x v="0"/>
    <n v="11"/>
    <n v="1210168.7714285713"/>
    <x v="2"/>
    <x v="0"/>
  </r>
  <r>
    <x v="1"/>
    <x v="2"/>
    <n v="44625"/>
    <x v="0"/>
    <x v="0"/>
    <x v="18"/>
    <x v="2"/>
    <x v="151"/>
    <s v="Bánh Mandu Thịt và Bắp CJ Bibigo - Gói 1.505Kg - Thùng 9,03Kg"/>
    <s v="Gói"/>
    <n v="7"/>
    <n v="10.535"/>
    <d v="1899-12-31T12:07:12"/>
    <n v="44671"/>
    <s v="NPP trả về không đạt"/>
    <n v="770107.39999999979"/>
    <x v="0"/>
    <n v="7"/>
    <n v="770107.39999999979"/>
    <x v="2"/>
    <x v="0"/>
  </r>
  <r>
    <x v="1"/>
    <x v="2"/>
    <n v="44625"/>
    <x v="0"/>
    <x v="0"/>
    <x v="18"/>
    <x v="2"/>
    <x v="151"/>
    <s v="Bánh Mandu Thịt và Bắp CJ Bibigo - Gói 1.505Kg - Thùng 9,03Kg"/>
    <s v="Gói"/>
    <n v="3"/>
    <n v="4.5149999999999997"/>
    <d v="1899-12-31T12:07:12"/>
    <n v="44727"/>
    <s v="Rách"/>
    <n v="330046.02857142856"/>
    <x v="0"/>
    <n v="3"/>
    <n v="330046.02857142856"/>
    <x v="2"/>
    <x v="0"/>
  </r>
  <r>
    <x v="1"/>
    <x v="2"/>
    <n v="44625"/>
    <x v="0"/>
    <x v="0"/>
    <x v="18"/>
    <x v="2"/>
    <x v="151"/>
    <s v="Bánh Mandu Thịt và Bắp CJ Bibigo - Gói 1.505Kg - Thùng 9,03Kg"/>
    <s v="Gói"/>
    <n v="10"/>
    <n v="15.05"/>
    <d v="1899-12-31T12:07:12"/>
    <n v="44845"/>
    <s v="Rách"/>
    <n v="1100153.4285714286"/>
    <x v="0"/>
    <n v="10"/>
    <n v="1100153.4285714286"/>
    <x v="2"/>
    <x v="0"/>
  </r>
  <r>
    <x v="1"/>
    <x v="2"/>
    <n v="44625"/>
    <x v="0"/>
    <x v="0"/>
    <x v="18"/>
    <x v="2"/>
    <x v="151"/>
    <s v="Bánh Mandu Thịt và Bắp CJ Bibigo - Gói 1.505Kg - Thùng 9,03Kg"/>
    <s v="Gói"/>
    <n v="6"/>
    <n v="9.0299999999999994"/>
    <d v="1899-12-31T12:07:12"/>
    <n v="44887"/>
    <s v="Rách"/>
    <n v="660092.05714285711"/>
    <x v="0"/>
    <n v="6"/>
    <n v="660092.05714285711"/>
    <x v="2"/>
    <x v="0"/>
  </r>
  <r>
    <x v="1"/>
    <x v="2"/>
    <n v="44625"/>
    <x v="0"/>
    <x v="0"/>
    <x v="18"/>
    <x v="2"/>
    <x v="151"/>
    <s v="Bánh Mandu Thịt và Bắp CJ Bibigo - Gói 1.505Kg - Thùng 9,03Kg"/>
    <s v="Gói"/>
    <n v="2"/>
    <n v="3.01"/>
    <d v="1899-12-31T12:07:12"/>
    <n v="44904"/>
    <s v="Rách"/>
    <n v="220030.6857142857"/>
    <x v="0"/>
    <n v="2"/>
    <n v="220030.6857142857"/>
    <x v="2"/>
    <x v="0"/>
  </r>
  <r>
    <x v="1"/>
    <x v="2"/>
    <n v="44625"/>
    <x v="0"/>
    <x v="0"/>
    <x v="18"/>
    <x v="2"/>
    <x v="144"/>
    <s v="Bánh Mandu Hải Sản CJ Bibigo - Gói 1.505Kg - Thùng 9,03Kg"/>
    <s v="Gói"/>
    <n v="1"/>
    <n v="1.5049999999999999"/>
    <d v="1899-12-31T12:07:12"/>
    <n v="44622"/>
    <s v="Rách"/>
    <n v="110012"/>
    <x v="0"/>
    <n v="1"/>
    <n v="110012"/>
    <x v="2"/>
    <x v="0"/>
  </r>
  <r>
    <x v="1"/>
    <x v="2"/>
    <n v="44625"/>
    <x v="0"/>
    <x v="0"/>
    <x v="18"/>
    <x v="2"/>
    <x v="144"/>
    <s v="Bánh Mandu Hải Sản CJ Bibigo - Gói 1.505Kg - Thùng 9,03Kg"/>
    <s v="Gói"/>
    <n v="5"/>
    <n v="7.5250000000000004"/>
    <d v="1899-12-31T12:07:12"/>
    <n v="44682"/>
    <s v="NPP trả về không đạt"/>
    <n v="550060"/>
    <x v="0"/>
    <n v="5"/>
    <n v="550060"/>
    <x v="2"/>
    <x v="0"/>
  </r>
  <r>
    <x v="1"/>
    <x v="2"/>
    <n v="44625"/>
    <x v="0"/>
    <x v="0"/>
    <x v="18"/>
    <x v="2"/>
    <x v="144"/>
    <s v="Bánh Mandu Hải Sản CJ Bibigo - Gói 1.505Kg - Thùng 9,03Kg"/>
    <s v="Gói"/>
    <n v="2"/>
    <n v="3.01"/>
    <d v="1899-12-31T12:07:12"/>
    <n v="44845"/>
    <s v="Rách"/>
    <n v="220024"/>
    <x v="0"/>
    <n v="2"/>
    <n v="220024"/>
    <x v="2"/>
    <x v="0"/>
  </r>
  <r>
    <x v="1"/>
    <x v="2"/>
    <n v="44625"/>
    <x v="0"/>
    <x v="0"/>
    <x v="18"/>
    <x v="2"/>
    <x v="106"/>
    <s v="Bánh Mini Mandu Thịt CJ Bibigo - gói 1.505kg- Thùng 9,03 kg"/>
    <s v="Gói"/>
    <n v="2"/>
    <n v="3.01"/>
    <d v="1899-12-31T12:07:12"/>
    <n v="44645"/>
    <s v="Rách"/>
    <n v="235224"/>
    <x v="0"/>
    <n v="2"/>
    <n v="235224"/>
    <x v="2"/>
    <x v="0"/>
  </r>
  <r>
    <x v="1"/>
    <x v="2"/>
    <n v="44625"/>
    <x v="6"/>
    <x v="0"/>
    <x v="38"/>
    <x v="2"/>
    <x v="166"/>
    <s v="Ohya Bánh cuộn xúc xích phô mai 195g/gói"/>
    <s v="Gói"/>
    <n v="2"/>
    <n v="0.39"/>
    <d v="1899-12-30T04:40:48"/>
    <n v="44691"/>
    <s v="Rách"/>
    <n v="57750"/>
    <x v="0"/>
    <n v="2"/>
    <n v="57750"/>
    <x v="2"/>
    <x v="0"/>
  </r>
  <r>
    <x v="1"/>
    <x v="2"/>
    <n v="44625"/>
    <x v="5"/>
    <x v="0"/>
    <x v="16"/>
    <x v="2"/>
    <x v="217"/>
    <s v="Bò viên Cầu Tre - Gói 200G"/>
    <s v="Gói"/>
    <n v="4"/>
    <n v="0.8"/>
    <d v="1899-12-30T04:48:00"/>
    <n v="44947"/>
    <s v="Xì"/>
    <n v="113742.77777777778"/>
    <x v="0"/>
    <n v="4"/>
    <n v="113742.77777777778"/>
    <x v="2"/>
    <x v="0"/>
  </r>
  <r>
    <x v="1"/>
    <x v="2"/>
    <n v="44625"/>
    <x v="5"/>
    <x v="0"/>
    <x v="16"/>
    <x v="2"/>
    <x v="27"/>
    <s v="Bò viên ngon Cầu Tre 500gr"/>
    <s v="Gói"/>
    <n v="1"/>
    <n v="0.5"/>
    <d v="1899-12-30T12:00:00"/>
    <n v="44908"/>
    <s v="Xì"/>
    <n v="53251.4"/>
    <x v="0"/>
    <n v="1"/>
    <n v="53251.4"/>
    <x v="2"/>
    <x v="0"/>
  </r>
  <r>
    <x v="1"/>
    <x v="2"/>
    <n v="44625"/>
    <x v="5"/>
    <x v="0"/>
    <x v="16"/>
    <x v="2"/>
    <x v="27"/>
    <s v="Bò viên ngon Cầu Tre 500gr"/>
    <s v="Gói"/>
    <n v="10"/>
    <n v="5"/>
    <d v="1899-12-30T12:00:00"/>
    <n v="44947"/>
    <s v="Xì"/>
    <n v="532514"/>
    <x v="0"/>
    <n v="10"/>
    <n v="532514"/>
    <x v="2"/>
    <x v="0"/>
  </r>
  <r>
    <x v="1"/>
    <x v="2"/>
    <n v="44625"/>
    <x v="0"/>
    <x v="0"/>
    <x v="18"/>
    <x v="2"/>
    <x v="168"/>
    <s v="Bánh Mandu Thịt CJ Bibigo – Gói 175g"/>
    <s v="Gói"/>
    <n v="6"/>
    <n v="1.0499999999999998"/>
    <d v="1899-12-30T04:12:00"/>
    <n v="44839"/>
    <s v="Rách"/>
    <n v="77520.004199999996"/>
    <x v="0"/>
    <n v="6"/>
    <n v="77520.004199999996"/>
    <x v="2"/>
    <x v="0"/>
  </r>
  <r>
    <x v="1"/>
    <x v="2"/>
    <n v="44625"/>
    <x v="0"/>
    <x v="0"/>
    <x v="18"/>
    <x v="2"/>
    <x v="168"/>
    <s v="Bánh Mandu Thịt CJ Bibigo – Gói 175g"/>
    <s v="Gói"/>
    <n v="3"/>
    <n v="0.52499999999999991"/>
    <d v="1899-12-30T04:12:00"/>
    <n v="44885"/>
    <s v="Rách"/>
    <n v="38760.002099999998"/>
    <x v="0"/>
    <n v="3"/>
    <n v="38760.002099999998"/>
    <x v="2"/>
    <x v="0"/>
  </r>
  <r>
    <x v="1"/>
    <x v="2"/>
    <n v="44625"/>
    <x v="0"/>
    <x v="0"/>
    <x v="18"/>
    <x v="2"/>
    <x v="88"/>
    <s v="Bánh Mandu Thịt CJ Bibigo – Gói 350g"/>
    <s v="Gói"/>
    <n v="1"/>
    <n v="0.35"/>
    <d v="1899-12-30T08:24:00"/>
    <n v="44811"/>
    <s v="Rách"/>
    <n v="26339.990600000001"/>
    <x v="0"/>
    <n v="1"/>
    <n v="26339.990600000001"/>
    <x v="2"/>
    <x v="0"/>
  </r>
  <r>
    <x v="1"/>
    <x v="2"/>
    <n v="44625"/>
    <x v="0"/>
    <x v="0"/>
    <x v="18"/>
    <x v="2"/>
    <x v="246"/>
    <s v="Bánh Mandu Thịt và Bắp CJ Bibigo – Gói 175g"/>
    <s v="Gói"/>
    <n v="1"/>
    <n v="0.17499999999999999"/>
    <d v="1899-12-30T04:12:00"/>
    <n v="44811"/>
    <s v="Rách"/>
    <n v="15220.310100000001"/>
    <x v="0"/>
    <n v="1"/>
    <n v="15220.310100000001"/>
    <x v="2"/>
    <x v="0"/>
  </r>
  <r>
    <x v="1"/>
    <x v="2"/>
    <n v="44625"/>
    <x v="0"/>
    <x v="0"/>
    <x v="18"/>
    <x v="2"/>
    <x v="111"/>
    <s v="Bánh Mandu Thịt và Bắp CJ Bibigo – Gói 350g"/>
    <s v="Gói"/>
    <n v="1"/>
    <n v="0.35"/>
    <d v="1899-12-30T08:24:00"/>
    <n v="44671"/>
    <s v="Rách"/>
    <n v="27240.002499999999"/>
    <x v="0"/>
    <n v="1"/>
    <n v="27240.002499999999"/>
    <x v="2"/>
    <x v="0"/>
  </r>
  <r>
    <x v="1"/>
    <x v="2"/>
    <n v="44625"/>
    <x v="0"/>
    <x v="0"/>
    <x v="18"/>
    <x v="2"/>
    <x v="111"/>
    <s v="Bánh Mandu Thịt và Bắp CJ Bibigo – Gói 350g"/>
    <s v="Gói"/>
    <n v="1"/>
    <n v="0.35"/>
    <d v="1899-12-30T08:24:00"/>
    <n v="44727"/>
    <s v="Rách"/>
    <n v="27240.002499999999"/>
    <x v="0"/>
    <n v="1"/>
    <n v="27240.002499999999"/>
    <x v="2"/>
    <x v="0"/>
  </r>
  <r>
    <x v="1"/>
    <x v="2"/>
    <n v="44625"/>
    <x v="0"/>
    <x v="0"/>
    <x v="18"/>
    <x v="2"/>
    <x v="111"/>
    <s v="Bánh Mandu Thịt và Bắp CJ Bibigo – Gói 350g"/>
    <s v="Gói"/>
    <n v="1"/>
    <n v="0.35"/>
    <d v="1899-12-30T08:24:00"/>
    <n v="44812"/>
    <s v="Rách"/>
    <n v="27240.002499999999"/>
    <x v="0"/>
    <n v="1"/>
    <n v="27240.002499999999"/>
    <x v="2"/>
    <x v="0"/>
  </r>
  <r>
    <x v="1"/>
    <x v="2"/>
    <n v="44625"/>
    <x v="0"/>
    <x v="0"/>
    <x v="18"/>
    <x v="2"/>
    <x v="129"/>
    <s v="Bánh Mandu Hải Sản CJ Bibigo – Gói 175g"/>
    <s v="Gói"/>
    <n v="1"/>
    <n v="0.17499999999999999"/>
    <d v="1899-12-30T04:12:00"/>
    <n v="44630"/>
    <s v="Rách"/>
    <n v="14620.010700000001"/>
    <x v="0"/>
    <n v="1"/>
    <n v="14620.010700000001"/>
    <x v="2"/>
    <x v="0"/>
  </r>
  <r>
    <x v="1"/>
    <x v="2"/>
    <n v="44625"/>
    <x v="0"/>
    <x v="0"/>
    <x v="18"/>
    <x v="2"/>
    <x v="129"/>
    <s v="Bánh Mandu Hải Sản CJ Bibigo – Gói 175g"/>
    <s v="Gói"/>
    <n v="1"/>
    <n v="0.17499999999999999"/>
    <d v="1899-12-30T04:12:00"/>
    <n v="44764"/>
    <s v="Rách"/>
    <n v="14620.010700000001"/>
    <x v="0"/>
    <n v="1"/>
    <n v="14620.010700000001"/>
    <x v="2"/>
    <x v="0"/>
  </r>
  <r>
    <x v="1"/>
    <x v="2"/>
    <n v="44625"/>
    <x v="0"/>
    <x v="0"/>
    <x v="18"/>
    <x v="2"/>
    <x v="129"/>
    <s v="Bánh Mandu Hải Sản CJ Bibigo – Gói 175g"/>
    <s v="Gói"/>
    <n v="2"/>
    <n v="0.35"/>
    <d v="1899-12-30T04:12:00"/>
    <n v="44790"/>
    <s v="Rách"/>
    <n v="29240.021400000001"/>
    <x v="0"/>
    <n v="2"/>
    <n v="29240.021400000001"/>
    <x v="2"/>
    <x v="0"/>
  </r>
  <r>
    <x v="1"/>
    <x v="2"/>
    <n v="44625"/>
    <x v="0"/>
    <x v="0"/>
    <x v="18"/>
    <x v="2"/>
    <x v="129"/>
    <s v="Bánh Mandu Hải Sản CJ Bibigo – Gói 175g"/>
    <s v="Gói"/>
    <n v="1"/>
    <n v="0.17499999999999999"/>
    <d v="1899-12-30T04:12:00"/>
    <n v="44791"/>
    <s v="Rách"/>
    <n v="14620.010700000001"/>
    <x v="0"/>
    <n v="1"/>
    <n v="14620.010700000001"/>
    <x v="2"/>
    <x v="0"/>
  </r>
  <r>
    <x v="1"/>
    <x v="2"/>
    <n v="44625"/>
    <x v="0"/>
    <x v="0"/>
    <x v="18"/>
    <x v="2"/>
    <x v="129"/>
    <s v="Bánh Mandu Hải Sản CJ Bibigo – Gói 175g"/>
    <s v="Gói"/>
    <n v="2"/>
    <n v="0.35"/>
    <d v="1899-12-30T04:12:00"/>
    <n v="44813"/>
    <s v="Rách"/>
    <n v="29240.021400000001"/>
    <x v="0"/>
    <n v="2"/>
    <n v="29240.021400000001"/>
    <x v="2"/>
    <x v="0"/>
  </r>
  <r>
    <x v="1"/>
    <x v="2"/>
    <n v="44625"/>
    <x v="0"/>
    <x v="0"/>
    <x v="18"/>
    <x v="2"/>
    <x v="129"/>
    <s v="Bánh Mandu Hải Sản CJ Bibigo – Gói 175g"/>
    <s v="Gói"/>
    <n v="10"/>
    <n v="1.75"/>
    <d v="1899-12-30T04:12:00"/>
    <n v="44845"/>
    <s v="Rách"/>
    <n v="146200.10700000002"/>
    <x v="0"/>
    <n v="10"/>
    <n v="146200.10700000002"/>
    <x v="2"/>
    <x v="0"/>
  </r>
  <r>
    <x v="1"/>
    <x v="2"/>
    <n v="44625"/>
    <x v="0"/>
    <x v="0"/>
    <x v="18"/>
    <x v="2"/>
    <x v="129"/>
    <s v="Bánh Mandu Hải Sản CJ Bibigo – Gói 175g"/>
    <s v="Gói"/>
    <n v="17"/>
    <n v="2.9749999999999996"/>
    <d v="1899-12-30T04:12:00"/>
    <n v="44846"/>
    <s v="Rách"/>
    <n v="248540.18190000005"/>
    <x v="0"/>
    <n v="17"/>
    <n v="248540.18190000005"/>
    <x v="2"/>
    <x v="0"/>
  </r>
  <r>
    <x v="1"/>
    <x v="2"/>
    <n v="44625"/>
    <x v="0"/>
    <x v="0"/>
    <x v="18"/>
    <x v="2"/>
    <x v="114"/>
    <s v="Bánh Mandu Hải Sản CJ Bibigo – Gói 350g"/>
    <s v="Gói"/>
    <n v="1"/>
    <n v="0.35"/>
    <d v="1899-12-30T08:24:00"/>
    <n v="44781"/>
    <s v="Rách"/>
    <n v="27637.599999999999"/>
    <x v="0"/>
    <n v="1"/>
    <n v="27637.599999999999"/>
    <x v="2"/>
    <x v="0"/>
  </r>
  <r>
    <x v="1"/>
    <x v="2"/>
    <n v="44625"/>
    <x v="0"/>
    <x v="0"/>
    <x v="18"/>
    <x v="2"/>
    <x v="114"/>
    <s v="Bánh Mandu Hải Sản CJ Bibigo – Gói 350g"/>
    <s v="Gói"/>
    <n v="1"/>
    <n v="0.35"/>
    <d v="1899-12-30T08:24:00"/>
    <n v="44813"/>
    <s v="Rách"/>
    <n v="27637.599999999999"/>
    <x v="0"/>
    <n v="1"/>
    <n v="27637.599999999999"/>
    <x v="2"/>
    <x v="0"/>
  </r>
  <r>
    <x v="1"/>
    <x v="2"/>
    <n v="44625"/>
    <x v="0"/>
    <x v="0"/>
    <x v="18"/>
    <x v="2"/>
    <x v="146"/>
    <s v="Bánh Mandu Hải Sản CJ Bibigo – Gói 350g (GT)"/>
    <s v="Gói"/>
    <n v="1"/>
    <n v="0.35"/>
    <d v="1899-12-30T08:24:00"/>
    <n v="44846"/>
    <s v="Rách"/>
    <n v="26540"/>
    <x v="0"/>
    <n v="1"/>
    <n v="26540"/>
    <x v="2"/>
    <x v="0"/>
  </r>
  <r>
    <x v="1"/>
    <x v="2"/>
    <n v="44625"/>
    <x v="1"/>
    <x v="0"/>
    <x v="41"/>
    <x v="2"/>
    <x v="334"/>
    <s v="CJ Cautre I’m Rice Cơm chiên Kimchi Khay 150g"/>
    <s v="Khay"/>
    <n v="3"/>
    <n v="0.45"/>
    <d v="1899-12-30T03:36:00"/>
    <n v="44847"/>
    <s v="Rách"/>
    <n v="31380.003299999997"/>
    <x v="0"/>
    <n v="3"/>
    <n v="31380.003299999997"/>
    <x v="2"/>
    <x v="0"/>
  </r>
  <r>
    <x v="1"/>
    <x v="2"/>
    <n v="44625"/>
    <x v="1"/>
    <x v="0"/>
    <x v="41"/>
    <x v="2"/>
    <x v="334"/>
    <s v="CJ Cautre I’m Rice Cơm chiên Kimchi Khay 150g"/>
    <s v="Khay"/>
    <n v="1"/>
    <n v="0.15"/>
    <d v="1899-12-30T03:36:00"/>
    <n v="44864"/>
    <s v="Rách"/>
    <n v="10460.001099999999"/>
    <x v="0"/>
    <n v="1"/>
    <n v="10460.001099999999"/>
    <x v="2"/>
    <x v="0"/>
  </r>
  <r>
    <x v="1"/>
    <x v="2"/>
    <n v="44625"/>
    <x v="1"/>
    <x v="0"/>
    <x v="41"/>
    <x v="2"/>
    <x v="334"/>
    <s v="CJ Cautre I’m Rice Cơm chiên Kimchi Khay 150g"/>
    <s v="Khay"/>
    <n v="4"/>
    <n v="0.6"/>
    <d v="1899-12-30T03:36:00"/>
    <n v="44868"/>
    <s v="Rách"/>
    <n v="41840.004399999998"/>
    <x v="0"/>
    <n v="4"/>
    <n v="41840.004399999998"/>
    <x v="2"/>
    <x v="0"/>
  </r>
  <r>
    <x v="1"/>
    <x v="2"/>
    <n v="44625"/>
    <x v="1"/>
    <x v="0"/>
    <x v="41"/>
    <x v="2"/>
    <x v="334"/>
    <s v="CJ Cautre I’m Rice Cơm chiên Kimchi Khay 150g"/>
    <s v="Khay"/>
    <n v="6"/>
    <n v="0.8999999999999998"/>
    <d v="1899-12-30T03:36:00"/>
    <n v="44878"/>
    <s v="Rách"/>
    <n v="62760.006599999993"/>
    <x v="0"/>
    <n v="6"/>
    <n v="62760.006599999993"/>
    <x v="2"/>
    <x v="0"/>
  </r>
  <r>
    <x v="1"/>
    <x v="2"/>
    <n v="44625"/>
    <x v="1"/>
    <x v="0"/>
    <x v="41"/>
    <x v="2"/>
    <x v="334"/>
    <s v="CJ Cautre I’m Rice Cơm chiên Kimchi Khay 150g"/>
    <s v="Khay"/>
    <n v="1"/>
    <n v="0.15"/>
    <d v="1899-12-30T03:36:00"/>
    <n v="44897"/>
    <s v="Rách"/>
    <n v="10460.001099999999"/>
    <x v="0"/>
    <n v="1"/>
    <n v="10460.001099999999"/>
    <x v="2"/>
    <x v="0"/>
  </r>
  <r>
    <x v="1"/>
    <x v="2"/>
    <n v="44625"/>
    <x v="1"/>
    <x v="0"/>
    <x v="41"/>
    <x v="2"/>
    <x v="334"/>
    <s v="CJ Cautre I’m Rice Cơm chiên Kimchi Khay 150g"/>
    <s v="Khay"/>
    <n v="5"/>
    <n v="0.75"/>
    <d v="1899-12-30T03:36:00"/>
    <n v="44936"/>
    <s v="Rách"/>
    <n v="52300.005499999999"/>
    <x v="0"/>
    <n v="5"/>
    <n v="52300.005499999999"/>
    <x v="2"/>
    <x v="0"/>
  </r>
  <r>
    <x v="1"/>
    <x v="2"/>
    <n v="44625"/>
    <x v="1"/>
    <x v="0"/>
    <x v="41"/>
    <x v="2"/>
    <x v="333"/>
    <s v="CJ Cautre I’m Rice Cơm chiên Hải Sản Khay 150g"/>
    <s v="Khay"/>
    <n v="4"/>
    <n v="0.6"/>
    <d v="1899-12-30T03:36:00"/>
    <n v="44584"/>
    <s v="Rách"/>
    <n v="43840.262000000002"/>
    <x v="0"/>
    <n v="4"/>
    <n v="43840.262000000002"/>
    <x v="2"/>
    <x v="0"/>
  </r>
  <r>
    <x v="1"/>
    <x v="2"/>
    <n v="44625"/>
    <x v="1"/>
    <x v="0"/>
    <x v="41"/>
    <x v="2"/>
    <x v="333"/>
    <s v="CJ Cautre I’m Rice Cơm chiên Hải Sản Khay 150g"/>
    <s v="Khay"/>
    <n v="5"/>
    <n v="0.75"/>
    <d v="1899-12-30T03:36:00"/>
    <n v="44869"/>
    <s v="Rách"/>
    <n v="54800.327499999999"/>
    <x v="0"/>
    <n v="5"/>
    <n v="54800.327499999999"/>
    <x v="2"/>
    <x v="0"/>
  </r>
  <r>
    <x v="1"/>
    <x v="2"/>
    <n v="44625"/>
    <x v="1"/>
    <x v="0"/>
    <x v="41"/>
    <x v="2"/>
    <x v="333"/>
    <s v="CJ Cautre I’m Rice Cơm chiên Hải Sản Khay 150g"/>
    <s v="Khay"/>
    <n v="8"/>
    <n v="1.2"/>
    <d v="1899-12-30T03:36:00"/>
    <n v="44870"/>
    <s v="Rách"/>
    <n v="87680.524000000005"/>
    <x v="0"/>
    <n v="8"/>
    <n v="87680.524000000005"/>
    <x v="2"/>
    <x v="0"/>
  </r>
  <r>
    <x v="1"/>
    <x v="2"/>
    <n v="44625"/>
    <x v="1"/>
    <x v="0"/>
    <x v="41"/>
    <x v="2"/>
    <x v="333"/>
    <s v="CJ Cautre I’m Rice Cơm chiên Hải Sản Khay 150g"/>
    <s v="Khay"/>
    <n v="7"/>
    <n v="1.05"/>
    <d v="1899-12-30T03:36:00"/>
    <n v="44871"/>
    <s v="Rách"/>
    <n v="76720.458499999993"/>
    <x v="0"/>
    <n v="7"/>
    <n v="76720.458499999993"/>
    <x v="2"/>
    <x v="0"/>
  </r>
  <r>
    <x v="1"/>
    <x v="2"/>
    <n v="44625"/>
    <x v="1"/>
    <x v="0"/>
    <x v="41"/>
    <x v="2"/>
    <x v="333"/>
    <s v="CJ Cautre I’m Rice Cơm chiên Hải Sản Khay 150g"/>
    <s v="Khay"/>
    <n v="2"/>
    <n v="0.3"/>
    <d v="1899-12-30T03:36:00"/>
    <n v="44873"/>
    <s v="Rách"/>
    <n v="21920.131000000001"/>
    <x v="0"/>
    <n v="2"/>
    <n v="21920.131000000001"/>
    <x v="2"/>
    <x v="0"/>
  </r>
  <r>
    <x v="1"/>
    <x v="2"/>
    <n v="44625"/>
    <x v="1"/>
    <x v="0"/>
    <x v="41"/>
    <x v="2"/>
    <x v="333"/>
    <s v="CJ Cautre I’m Rice Cơm chiên Hải Sản Khay 150g"/>
    <s v="Khay"/>
    <n v="3"/>
    <n v="0.45"/>
    <d v="1899-12-30T03:36:00"/>
    <n v="44875"/>
    <s v="Rách"/>
    <n v="32880.196500000005"/>
    <x v="0"/>
    <n v="3"/>
    <n v="32880.196500000005"/>
    <x v="2"/>
    <x v="0"/>
  </r>
  <r>
    <x v="1"/>
    <x v="2"/>
    <n v="44625"/>
    <x v="1"/>
    <x v="0"/>
    <x v="41"/>
    <x v="2"/>
    <x v="333"/>
    <s v="CJ Cautre I’m Rice Cơm chiên Hải Sản Khay 150g"/>
    <s v="Khay"/>
    <n v="2"/>
    <n v="0.3"/>
    <d v="1899-12-30T03:36:00"/>
    <n v="44876"/>
    <s v="Rách"/>
    <n v="21920.131000000001"/>
    <x v="0"/>
    <n v="2"/>
    <n v="21920.131000000001"/>
    <x v="2"/>
    <x v="0"/>
  </r>
  <r>
    <x v="1"/>
    <x v="2"/>
    <n v="44625"/>
    <x v="1"/>
    <x v="0"/>
    <x v="41"/>
    <x v="2"/>
    <x v="333"/>
    <s v="CJ Cautre I’m Rice Cơm chiên Hải Sản Khay 150g"/>
    <s v="Khay"/>
    <n v="2"/>
    <n v="0.3"/>
    <d v="1899-12-30T03:36:00"/>
    <n v="44881"/>
    <s v="Rách"/>
    <n v="21920.131000000001"/>
    <x v="0"/>
    <n v="2"/>
    <n v="21920.131000000001"/>
    <x v="2"/>
    <x v="0"/>
  </r>
  <r>
    <x v="1"/>
    <x v="2"/>
    <n v="44625"/>
    <x v="1"/>
    <x v="0"/>
    <x v="41"/>
    <x v="2"/>
    <x v="333"/>
    <s v="CJ Cautre I’m Rice Cơm chiên Hải Sản Khay 150g"/>
    <s v="Khay"/>
    <n v="1"/>
    <n v="0.15"/>
    <d v="1899-12-30T03:36:00"/>
    <n v="44882"/>
    <s v="Rách"/>
    <n v="10960.065500000001"/>
    <x v="0"/>
    <n v="1"/>
    <n v="10960.065500000001"/>
    <x v="2"/>
    <x v="0"/>
  </r>
  <r>
    <x v="1"/>
    <x v="2"/>
    <n v="44625"/>
    <x v="1"/>
    <x v="0"/>
    <x v="41"/>
    <x v="2"/>
    <x v="333"/>
    <s v="CJ Cautre I’m Rice Cơm chiên Hải Sản Khay 150g"/>
    <s v="Khay"/>
    <n v="4"/>
    <n v="0.6"/>
    <d v="1899-12-30T03:36:00"/>
    <n v="44883"/>
    <s v="Rách"/>
    <n v="43840.262000000002"/>
    <x v="0"/>
    <n v="4"/>
    <n v="43840.262000000002"/>
    <x v="2"/>
    <x v="0"/>
  </r>
  <r>
    <x v="1"/>
    <x v="2"/>
    <n v="44625"/>
    <x v="1"/>
    <x v="0"/>
    <x v="41"/>
    <x v="2"/>
    <x v="333"/>
    <s v="CJ Cautre I’m Rice Cơm chiên Hải Sản Khay 150g"/>
    <s v="Khay"/>
    <n v="2"/>
    <n v="0.3"/>
    <d v="1899-12-30T03:36:00"/>
    <n v="44884"/>
    <s v="Rách"/>
    <n v="21920.131000000001"/>
    <x v="0"/>
    <n v="2"/>
    <n v="21920.131000000001"/>
    <x v="2"/>
    <x v="0"/>
  </r>
  <r>
    <x v="1"/>
    <x v="2"/>
    <n v="44625"/>
    <x v="1"/>
    <x v="0"/>
    <x v="41"/>
    <x v="2"/>
    <x v="333"/>
    <s v="CJ Cautre I’m Rice Cơm chiên Hải Sản Khay 150g"/>
    <s v="Khay"/>
    <n v="9"/>
    <n v="1.35"/>
    <d v="1899-12-30T03:36:00"/>
    <n v="44885"/>
    <s v="Rách"/>
    <n v="98640.589500000002"/>
    <x v="0"/>
    <n v="9"/>
    <n v="98640.589500000002"/>
    <x v="2"/>
    <x v="0"/>
  </r>
  <r>
    <x v="1"/>
    <x v="2"/>
    <n v="44625"/>
    <x v="1"/>
    <x v="0"/>
    <x v="41"/>
    <x v="2"/>
    <x v="333"/>
    <s v="CJ Cautre I’m Rice Cơm chiên Hải Sản Khay 150g"/>
    <s v="Khay"/>
    <n v="4"/>
    <n v="0.6"/>
    <d v="1899-12-30T03:36:00"/>
    <n v="44887"/>
    <s v="Rách"/>
    <n v="43840.262000000002"/>
    <x v="0"/>
    <n v="4"/>
    <n v="43840.262000000002"/>
    <x v="2"/>
    <x v="0"/>
  </r>
  <r>
    <x v="1"/>
    <x v="2"/>
    <n v="44625"/>
    <x v="1"/>
    <x v="0"/>
    <x v="41"/>
    <x v="2"/>
    <x v="333"/>
    <s v="CJ Cautre I’m Rice Cơm chiên Hải Sản Khay 150g"/>
    <s v="Khay"/>
    <n v="3"/>
    <n v="0.45"/>
    <d v="1899-12-30T03:36:00"/>
    <n v="44888"/>
    <s v="Rách"/>
    <n v="32880.196500000005"/>
    <x v="0"/>
    <n v="3"/>
    <n v="32880.196500000005"/>
    <x v="2"/>
    <x v="0"/>
  </r>
  <r>
    <x v="1"/>
    <x v="2"/>
    <n v="44625"/>
    <x v="1"/>
    <x v="0"/>
    <x v="41"/>
    <x v="2"/>
    <x v="333"/>
    <s v="CJ Cautre I’m Rice Cơm chiên Hải Sản Khay 150g"/>
    <s v="Khay"/>
    <n v="8"/>
    <n v="1.2"/>
    <d v="1899-12-30T03:36:00"/>
    <n v="44894"/>
    <s v="Rách"/>
    <n v="87680.524000000005"/>
    <x v="0"/>
    <n v="8"/>
    <n v="87680.524000000005"/>
    <x v="2"/>
    <x v="0"/>
  </r>
  <r>
    <x v="1"/>
    <x v="2"/>
    <n v="44625"/>
    <x v="1"/>
    <x v="0"/>
    <x v="41"/>
    <x v="2"/>
    <x v="333"/>
    <s v="CJ Cautre I’m Rice Cơm chiên Hải Sản Khay 150g"/>
    <s v="Khay"/>
    <n v="5"/>
    <n v="0.75"/>
    <d v="1899-12-30T03:36:00"/>
    <n v="44895"/>
    <s v="Rách"/>
    <n v="54800.327499999999"/>
    <x v="0"/>
    <n v="5"/>
    <n v="54800.327499999999"/>
    <x v="2"/>
    <x v="0"/>
  </r>
  <r>
    <x v="1"/>
    <x v="2"/>
    <n v="44625"/>
    <x v="1"/>
    <x v="0"/>
    <x v="41"/>
    <x v="2"/>
    <x v="333"/>
    <s v="CJ Cautre I’m Rice Cơm chiên Hải Sản Khay 150g"/>
    <s v="Khay"/>
    <n v="1"/>
    <n v="0.15"/>
    <d v="1899-12-30T03:36:00"/>
    <n v="44896"/>
    <s v="Rách"/>
    <n v="10960.065500000001"/>
    <x v="0"/>
    <n v="1"/>
    <n v="10960.065500000001"/>
    <x v="2"/>
    <x v="0"/>
  </r>
  <r>
    <x v="1"/>
    <x v="2"/>
    <n v="44625"/>
    <x v="1"/>
    <x v="0"/>
    <x v="41"/>
    <x v="2"/>
    <x v="333"/>
    <s v="CJ Cautre I’m Rice Cơm chiên Hải Sản Khay 150g"/>
    <s v="Khay"/>
    <n v="3"/>
    <n v="0.45"/>
    <d v="1899-12-30T03:36:00"/>
    <n v="44904"/>
    <s v="Rách"/>
    <n v="32880.196500000005"/>
    <x v="0"/>
    <n v="3"/>
    <n v="32880.196500000005"/>
    <x v="2"/>
    <x v="0"/>
  </r>
  <r>
    <x v="1"/>
    <x v="2"/>
    <n v="44625"/>
    <x v="1"/>
    <x v="0"/>
    <x v="41"/>
    <x v="2"/>
    <x v="333"/>
    <s v="CJ Cautre I’m Rice Cơm chiên Hải Sản Khay 150g"/>
    <s v="Khay"/>
    <n v="1"/>
    <n v="0.15"/>
    <d v="1899-12-30T03:36:00"/>
    <n v="44919"/>
    <s v="Rách"/>
    <n v="10960.065500000001"/>
    <x v="0"/>
    <n v="1"/>
    <n v="10960.065500000001"/>
    <x v="2"/>
    <x v="0"/>
  </r>
  <r>
    <x v="1"/>
    <x v="2"/>
    <n v="44625"/>
    <x v="1"/>
    <x v="0"/>
    <x v="41"/>
    <x v="2"/>
    <x v="333"/>
    <s v="CJ Cautre I’m Rice Cơm chiên Hải Sản Khay 150g"/>
    <s v="Khay"/>
    <n v="6"/>
    <n v="0.8999999999999998"/>
    <d v="1899-12-30T03:36:00"/>
    <n v="44920"/>
    <s v="Rách"/>
    <n v="65760.393000000011"/>
    <x v="0"/>
    <n v="6"/>
    <n v="65760.393000000011"/>
    <x v="2"/>
    <x v="0"/>
  </r>
  <r>
    <x v="1"/>
    <x v="2"/>
    <n v="44625"/>
    <x v="1"/>
    <x v="0"/>
    <x v="41"/>
    <x v="2"/>
    <x v="333"/>
    <s v="CJ Cautre I’m Rice Cơm chiên Hải Sản Khay 150g"/>
    <s v="Khay"/>
    <n v="6"/>
    <n v="0.8999999999999998"/>
    <d v="1899-12-30T03:36:00"/>
    <n v="44932"/>
    <s v="Rách"/>
    <n v="65760.393000000011"/>
    <x v="0"/>
    <n v="6"/>
    <n v="65760.393000000011"/>
    <x v="2"/>
    <x v="0"/>
  </r>
  <r>
    <x v="1"/>
    <x v="2"/>
    <n v="44625"/>
    <x v="0"/>
    <x v="0"/>
    <x v="0"/>
    <x v="2"/>
    <x v="135"/>
    <s v="Chả Giò Đặc Biệt Thịt - Gói 500G"/>
    <s v="Gói"/>
    <n v="1"/>
    <n v="0.5"/>
    <d v="1899-12-30T12:00:00"/>
    <n v="44925"/>
    <s v="Rách"/>
    <n v="37733.599999999999"/>
    <x v="0"/>
    <n v="1"/>
    <n v="37733.599999999999"/>
    <x v="2"/>
    <x v="0"/>
  </r>
  <r>
    <x v="1"/>
    <x v="2"/>
    <n v="44625"/>
    <x v="0"/>
    <x v="0"/>
    <x v="0"/>
    <x v="2"/>
    <x v="135"/>
    <s v="Chả Giò Đặc Biệt Thịt - Gói 500G"/>
    <s v="Gói"/>
    <n v="1"/>
    <n v="0.5"/>
    <d v="1899-12-30T12:00:00"/>
    <n v="44950"/>
    <s v="Rách"/>
    <n v="37733.599999999999"/>
    <x v="0"/>
    <n v="1"/>
    <n v="37733.599999999999"/>
    <x v="2"/>
    <x v="0"/>
  </r>
  <r>
    <x v="1"/>
    <x v="2"/>
    <n v="44625"/>
    <x v="0"/>
    <x v="0"/>
    <x v="0"/>
    <x v="2"/>
    <x v="227"/>
    <s v="Chả Giò Đặc Biệt Hải Sản- Gói 500G"/>
    <s v="Gói"/>
    <n v="1"/>
    <n v="0.5"/>
    <d v="1899-12-30T12:00:00"/>
    <n v="44930"/>
    <s v="Rách"/>
    <n v="34169.555555555555"/>
    <x v="0"/>
    <n v="1"/>
    <n v="34169.555555555555"/>
    <x v="2"/>
    <x v="0"/>
  </r>
  <r>
    <x v="1"/>
    <x v="2"/>
    <n v="44625"/>
    <x v="0"/>
    <x v="0"/>
    <x v="0"/>
    <x v="2"/>
    <x v="226"/>
    <s v="Chả Giò Rế - Gói 300G"/>
    <s v="Gói"/>
    <n v="1"/>
    <n v="0.3"/>
    <d v="1899-12-30T07:12:00"/>
    <n v="44695"/>
    <s v="Rách"/>
    <n v="17420.061760840999"/>
    <x v="0"/>
    <n v="1"/>
    <n v="17420.061760840999"/>
    <x v="2"/>
    <x v="0"/>
  </r>
  <r>
    <x v="1"/>
    <x v="2"/>
    <n v="44625"/>
    <x v="0"/>
    <x v="0"/>
    <x v="0"/>
    <x v="2"/>
    <x v="235"/>
    <s v="Chả Giò Da Xốp Cầu Tre - Nhân Thịt - Gói 500G"/>
    <s v="Gói"/>
    <n v="5"/>
    <n v="2.5"/>
    <d v="1899-12-30T12:00:00"/>
    <n v="44684"/>
    <s v="Rách"/>
    <n v="145276.66666666666"/>
    <x v="0"/>
    <n v="5"/>
    <n v="145276.66666666666"/>
    <x v="2"/>
    <x v="0"/>
  </r>
  <r>
    <x v="1"/>
    <x v="2"/>
    <n v="44625"/>
    <x v="0"/>
    <x v="0"/>
    <x v="0"/>
    <x v="2"/>
    <x v="228"/>
    <s v="Chả Giò Da Xốp Cầu Tre - Nhân Tôm và Thịt - Gói 400G"/>
    <s v="Gói"/>
    <n v="1"/>
    <n v="0.4"/>
    <d v="1899-12-30T09:36:00"/>
    <n v="44903"/>
    <s v="Rách"/>
    <n v="28751.3"/>
    <x v="0"/>
    <n v="1"/>
    <n v="28751.3"/>
    <x v="2"/>
    <x v="0"/>
  </r>
  <r>
    <x v="1"/>
    <x v="2"/>
    <n v="44625"/>
    <x v="5"/>
    <x v="0"/>
    <x v="16"/>
    <x v="2"/>
    <x v="231"/>
    <s v="Cá viên - Gói 250G"/>
    <s v="Gói"/>
    <n v="3"/>
    <n v="0.75"/>
    <d v="1899-12-30T06:00:00"/>
    <n v="44747"/>
    <s v="Rách"/>
    <n v="49500"/>
    <x v="0"/>
    <n v="3"/>
    <n v="49500"/>
    <x v="2"/>
    <x v="0"/>
  </r>
  <r>
    <x v="1"/>
    <x v="2"/>
    <n v="44625"/>
    <x v="5"/>
    <x v="0"/>
    <x v="16"/>
    <x v="2"/>
    <x v="231"/>
    <s v="Cá viên - Gói 250G"/>
    <s v="Gói"/>
    <n v="6"/>
    <n v="1.5"/>
    <d v="1899-12-30T06:00:00"/>
    <n v="44950"/>
    <s v="Rách"/>
    <n v="99000"/>
    <x v="0"/>
    <n v="6"/>
    <n v="99000"/>
    <x v="2"/>
    <x v="0"/>
  </r>
  <r>
    <x v="1"/>
    <x v="2"/>
    <n v="44625"/>
    <x v="5"/>
    <x v="0"/>
    <x v="16"/>
    <x v="2"/>
    <x v="46"/>
    <s v="Cá viên ngon Cầu Tre 500gr"/>
    <s v="Túi"/>
    <n v="2"/>
    <n v="1"/>
    <d v="1899-12-30T12:00:00"/>
    <n v="44901"/>
    <s v="Xì"/>
    <n v="52600"/>
    <x v="0"/>
    <n v="2"/>
    <n v="52600"/>
    <x v="2"/>
    <x v="0"/>
  </r>
  <r>
    <x v="1"/>
    <x v="2"/>
    <n v="44625"/>
    <x v="5"/>
    <x v="0"/>
    <x v="16"/>
    <x v="2"/>
    <x v="46"/>
    <s v="Cá viên ngon Cầu Tre 500gr"/>
    <s v="Túi"/>
    <n v="1"/>
    <n v="0.5"/>
    <d v="1899-12-30T12:00:00"/>
    <n v="44904"/>
    <s v="Xì"/>
    <n v="26300"/>
    <x v="0"/>
    <n v="1"/>
    <n v="26300"/>
    <x v="2"/>
    <x v="0"/>
  </r>
  <r>
    <x v="1"/>
    <x v="2"/>
    <n v="44625"/>
    <x v="5"/>
    <x v="0"/>
    <x v="16"/>
    <x v="2"/>
    <x v="46"/>
    <s v="Cá viên ngon Cầu Tre 500gr"/>
    <s v="Túi"/>
    <n v="2"/>
    <n v="1"/>
    <d v="1899-12-30T12:00:00"/>
    <n v="44918"/>
    <s v="Xì"/>
    <n v="52600"/>
    <x v="0"/>
    <n v="2"/>
    <n v="52600"/>
    <x v="2"/>
    <x v="0"/>
  </r>
  <r>
    <x v="1"/>
    <x v="2"/>
    <n v="44625"/>
    <x v="5"/>
    <x v="0"/>
    <x v="16"/>
    <x v="2"/>
    <x v="46"/>
    <s v="Cá viên ngon Cầu Tre 500gr"/>
    <s v="Túi"/>
    <n v="1"/>
    <n v="0.5"/>
    <d v="1899-12-30T12:00:00"/>
    <n v="44951"/>
    <s v="Rách"/>
    <n v="26300"/>
    <x v="0"/>
    <n v="1"/>
    <n v="26300"/>
    <x v="2"/>
    <x v="0"/>
  </r>
  <r>
    <x v="1"/>
    <x v="2"/>
    <n v="44625"/>
    <x v="5"/>
    <x v="0"/>
    <x v="16"/>
    <x v="2"/>
    <x v="46"/>
    <s v="Cá viên ngon Cầu Tre 500gr"/>
    <s v="Túi"/>
    <n v="4"/>
    <n v="2"/>
    <d v="1899-12-30T12:00:00"/>
    <n v="44952"/>
    <s v="Xì"/>
    <n v="105200"/>
    <x v="0"/>
    <n v="4"/>
    <n v="105200"/>
    <x v="2"/>
    <x v="0"/>
  </r>
  <r>
    <x v="1"/>
    <x v="2"/>
    <n v="44625"/>
    <x v="0"/>
    <x v="0"/>
    <x v="3"/>
    <x v="2"/>
    <x v="230"/>
    <s v="Há Cảo Thượng Hạng - Gói 300G"/>
    <s v="Gói"/>
    <n v="1"/>
    <n v="0.3"/>
    <d v="1899-12-30T07:12:00"/>
    <n v="44943"/>
    <s v="Rách"/>
    <n v="39929.142857142855"/>
    <x v="0"/>
    <n v="1"/>
    <n v="39929.142857142855"/>
    <x v="2"/>
    <x v="0"/>
  </r>
  <r>
    <x v="1"/>
    <x v="2"/>
    <n v="44625"/>
    <x v="0"/>
    <x v="0"/>
    <x v="3"/>
    <x v="2"/>
    <x v="125"/>
    <s v="Há Cảo CTE Mini - Gói 500g"/>
    <s v="Gói"/>
    <n v="1"/>
    <n v="0.5"/>
    <d v="1899-12-30T12:00:00"/>
    <n v="44940"/>
    <s v="Rách"/>
    <n v="36052"/>
    <x v="0"/>
    <n v="1"/>
    <n v="36052"/>
    <x v="2"/>
    <x v="0"/>
  </r>
  <r>
    <x v="1"/>
    <x v="2"/>
    <n v="44625"/>
    <x v="6"/>
    <x v="0"/>
    <x v="38"/>
    <x v="2"/>
    <x v="160"/>
    <s v="Ohya Fun Mix Nugget, Phô Mai Da Xốp - Gói 270G"/>
    <s v="Gói"/>
    <n v="1"/>
    <n v="0.27"/>
    <d v="1899-12-30T06:28:48"/>
    <n v="44761"/>
    <s v="Rách"/>
    <n v="29949.352999999999"/>
    <x v="0"/>
    <n v="1"/>
    <n v="29949.352999999999"/>
    <x v="2"/>
    <x v="0"/>
  </r>
  <r>
    <x v="1"/>
    <x v="2"/>
    <n v="44625"/>
    <x v="0"/>
    <x v="0"/>
    <x v="0"/>
    <x v="2"/>
    <x v="337"/>
    <s v="Nem Real Kiểu Hà Nội Nhân Thịt - Gói 360G"/>
    <s v="Gói"/>
    <n v="1"/>
    <n v="0.36"/>
    <d v="1899-12-30T08:38:24"/>
    <n v="44941"/>
    <s v="Rách"/>
    <n v="30464.021400000001"/>
    <x v="0"/>
    <n v="1"/>
    <n v="30464.021400000001"/>
    <x v="2"/>
    <x v="0"/>
  </r>
  <r>
    <x v="1"/>
    <x v="2"/>
    <n v="44625"/>
    <x v="5"/>
    <x v="0"/>
    <x v="48"/>
    <x v="2"/>
    <x v="335"/>
    <s v="Nem Nướng - Gói 250G"/>
    <s v="Gói"/>
    <n v="1"/>
    <n v="0.25"/>
    <d v="1899-12-30T06:00:00"/>
    <n v="44899"/>
    <s v="Rách"/>
    <n v="23165.68255250404"/>
    <x v="0"/>
    <n v="1"/>
    <n v="23165.68255250404"/>
    <x v="2"/>
    <x v="0"/>
  </r>
  <r>
    <x v="1"/>
    <x v="2"/>
    <n v="44625"/>
    <x v="0"/>
    <x v="0"/>
    <x v="0"/>
    <x v="2"/>
    <x v="396"/>
    <s v="Nem Real Kiểu Hà Nội Nhân Hải Sản - Gói 360G"/>
    <s v="Gói"/>
    <n v="4"/>
    <n v="1.44"/>
    <d v="1899-12-30T08:38:24"/>
    <n v="44917"/>
    <s v="Rách"/>
    <n v="133633.85714285716"/>
    <x v="0"/>
    <n v="4"/>
    <n v="133633.85714285716"/>
    <x v="2"/>
    <x v="0"/>
  </r>
  <r>
    <x v="1"/>
    <x v="2"/>
    <n v="44625"/>
    <x v="0"/>
    <x v="0"/>
    <x v="3"/>
    <x v="2"/>
    <x v="222"/>
    <s v="Há Cảo Nhân Tôm Cải Bó Xôi - Gói 300G"/>
    <s v="Gói"/>
    <n v="2"/>
    <n v="0.6"/>
    <d v="1899-12-30T07:12:00"/>
    <n v="44915"/>
    <s v="Rách"/>
    <n v="84294.411764705888"/>
    <x v="0"/>
    <n v="2"/>
    <n v="84294.411764705888"/>
    <x v="2"/>
    <x v="0"/>
  </r>
  <r>
    <x v="1"/>
    <x v="2"/>
    <n v="44625"/>
    <x v="1"/>
    <x v="0"/>
    <x v="41"/>
    <x v="2"/>
    <x v="385"/>
    <s v="CJ Cau Tre I'm Rice Cơm chiên tỏi Khay 240g"/>
    <s v="Khay"/>
    <n v="8"/>
    <n v="1.92"/>
    <d v="1899-12-30T05:45:36"/>
    <n v="44892"/>
    <s v="Rách"/>
    <n v="110361.69839999999"/>
    <x v="0"/>
    <n v="8"/>
    <n v="110361.69839999999"/>
    <x v="2"/>
    <x v="0"/>
  </r>
  <r>
    <x v="1"/>
    <x v="2"/>
    <n v="44625"/>
    <x v="1"/>
    <x v="0"/>
    <x v="41"/>
    <x v="2"/>
    <x v="385"/>
    <s v="CJ Cau Tre I'm Rice Cơm chiên tỏi Khay 240g"/>
    <s v="Khay"/>
    <n v="7"/>
    <n v="1.68"/>
    <d v="1899-12-30T05:45:36"/>
    <n v="44893"/>
    <s v="Rách"/>
    <n v="96566.486099999995"/>
    <x v="0"/>
    <n v="7"/>
    <n v="96566.486099999995"/>
    <x v="2"/>
    <x v="0"/>
  </r>
  <r>
    <x v="1"/>
    <x v="2"/>
    <n v="44625"/>
    <x v="1"/>
    <x v="0"/>
    <x v="41"/>
    <x v="2"/>
    <x v="385"/>
    <s v="CJ Cau Tre I'm Rice Cơm chiên tỏi Khay 240g"/>
    <s v="Khay"/>
    <n v="1"/>
    <n v="0.24"/>
    <d v="1899-12-30T05:45:36"/>
    <n v="44916"/>
    <s v="Rách"/>
    <n v="13795.212299999999"/>
    <x v="0"/>
    <n v="1"/>
    <n v="13795.212299999999"/>
    <x v="2"/>
    <x v="0"/>
  </r>
  <r>
    <x v="1"/>
    <x v="2"/>
    <n v="44625"/>
    <x v="5"/>
    <x v="0"/>
    <x v="16"/>
    <x v="2"/>
    <x v="398"/>
    <s v="Cá Viên - Gói 500g"/>
    <s v="Gói"/>
    <n v="1"/>
    <n v="0.5"/>
    <d v="1899-12-30T12:00:00"/>
    <n v="44973"/>
    <s v="Rách"/>
    <n v="27800"/>
    <x v="0"/>
    <n v="1"/>
    <n v="27800"/>
    <x v="2"/>
    <x v="0"/>
  </r>
  <r>
    <x v="1"/>
    <x v="2"/>
    <n v="44625"/>
    <x v="3"/>
    <x v="0"/>
    <x v="21"/>
    <x v="2"/>
    <x v="65"/>
    <s v="Đậu hũ chiên Ông Kim's 350gr"/>
    <s v="Hộp"/>
    <n v="291"/>
    <n v="101.85"/>
    <d v="1899-12-30T08:24:00"/>
    <n v="44543"/>
    <s v="Hết Date"/>
    <n v="4085653.2272727271"/>
    <x v="2"/>
    <n v="0"/>
    <n v="0"/>
    <x v="2"/>
    <x v="0"/>
  </r>
  <r>
    <x v="1"/>
    <x v="2"/>
    <n v="44625"/>
    <x v="3"/>
    <x v="0"/>
    <x v="21"/>
    <x v="2"/>
    <x v="65"/>
    <s v="Đậu hũ chiên Ông Kim's 350gr"/>
    <s v="Hộp"/>
    <n v="6"/>
    <n v="2.0999999999999996"/>
    <d v="1899-12-30T08:24:00"/>
    <n v="44543"/>
    <s v="Xì chân không"/>
    <n v="84240.272727272721"/>
    <x v="2"/>
    <n v="6"/>
    <n v="84240.272727272721"/>
    <x v="2"/>
    <x v="0"/>
  </r>
  <r>
    <x v="1"/>
    <x v="2"/>
    <n v="44625"/>
    <x v="3"/>
    <x v="0"/>
    <x v="21"/>
    <x v="2"/>
    <x v="65"/>
    <s v="Đậu hũ chiên Ông Kim's 350gr"/>
    <s v="Hộp"/>
    <n v="4"/>
    <n v="1.4"/>
    <d v="1899-12-30T08:24:00"/>
    <n v="44578"/>
    <s v="Xì chân không"/>
    <n v="56160.181818181816"/>
    <x v="0"/>
    <n v="4"/>
    <n v="56160.181818181816"/>
    <x v="2"/>
    <x v="0"/>
  </r>
  <r>
    <x v="1"/>
    <x v="2"/>
    <n v="44625"/>
    <x v="3"/>
    <x v="0"/>
    <x v="21"/>
    <x v="2"/>
    <x v="65"/>
    <s v="Đậu hũ chiên Ông Kim's 350gr"/>
    <s v="Hộp"/>
    <n v="332"/>
    <n v="116.2"/>
    <d v="1899-12-30T08:24:00"/>
    <n v="44585"/>
    <s v="Hết Date"/>
    <n v="4661295.0909090908"/>
    <x v="0"/>
    <n v="332"/>
    <n v="4661295.0909090908"/>
    <x v="2"/>
    <x v="0"/>
  </r>
  <r>
    <x v="1"/>
    <x v="2"/>
    <n v="44625"/>
    <x v="3"/>
    <x v="0"/>
    <x v="21"/>
    <x v="2"/>
    <x v="66"/>
    <s v="Đậu hũ miếng Bibigo Ông Kim's 250gr"/>
    <s v="Hộp"/>
    <n v="2"/>
    <n v="0.5"/>
    <d v="1899-12-30T06:00:00"/>
    <n v="44515"/>
    <s v="(blank)"/>
    <n v="15400"/>
    <x v="0"/>
    <n v="2"/>
    <n v="15400"/>
    <x v="2"/>
    <x v="0"/>
  </r>
  <r>
    <x v="1"/>
    <x v="2"/>
    <n v="44625"/>
    <x v="3"/>
    <x v="0"/>
    <x v="21"/>
    <x v="2"/>
    <x v="66"/>
    <s v="Đậu hũ miếng Bibigo Ông Kim's 250gr"/>
    <s v="Hộp"/>
    <n v="5"/>
    <n v="1.25"/>
    <d v="1899-12-30T06:00:00"/>
    <n v="44522"/>
    <s v="Hết Date"/>
    <n v="38500"/>
    <x v="0"/>
    <n v="5"/>
    <n v="38500"/>
    <x v="2"/>
    <x v="0"/>
  </r>
  <r>
    <x v="1"/>
    <x v="2"/>
    <n v="44625"/>
    <x v="3"/>
    <x v="0"/>
    <x v="21"/>
    <x v="2"/>
    <x v="66"/>
    <s v="Đậu hũ miếng Bibigo Ông Kim's 250gr"/>
    <s v="Hộp"/>
    <n v="2"/>
    <n v="0.5"/>
    <d v="1899-12-30T06:00:00"/>
    <n v="44557"/>
    <s v="Xì"/>
    <n v="15400"/>
    <x v="0"/>
    <n v="2"/>
    <n v="15400"/>
    <x v="2"/>
    <x v="0"/>
  </r>
  <r>
    <x v="1"/>
    <x v="2"/>
    <n v="44625"/>
    <x v="3"/>
    <x v="0"/>
    <x v="21"/>
    <x v="2"/>
    <x v="66"/>
    <s v="Đậu hũ miếng Bibigo Ông Kim's 250gr"/>
    <s v="Hộp"/>
    <n v="3"/>
    <n v="0.75"/>
    <d v="1899-12-30T06:00:00"/>
    <n v="44585"/>
    <s v="Hết Date"/>
    <n v="23100"/>
    <x v="0"/>
    <n v="3"/>
    <n v="23100"/>
    <x v="2"/>
    <x v="0"/>
  </r>
  <r>
    <x v="1"/>
    <x v="2"/>
    <n v="44625"/>
    <x v="3"/>
    <x v="0"/>
    <x v="21"/>
    <x v="2"/>
    <x v="66"/>
    <s v="Đậu hũ miếng Bibigo Ông Kim's 250gr"/>
    <s v="Hộp"/>
    <n v="1"/>
    <n v="0.25"/>
    <d v="1899-12-30T06:00:00"/>
    <n v="44585"/>
    <s v="Bị xì"/>
    <n v="7700"/>
    <x v="0"/>
    <n v="1"/>
    <n v="7700"/>
    <x v="2"/>
    <x v="0"/>
  </r>
  <r>
    <x v="1"/>
    <x v="2"/>
    <n v="44625"/>
    <x v="3"/>
    <x v="0"/>
    <x v="21"/>
    <x v="2"/>
    <x v="66"/>
    <s v="Đậu hũ miếng Bibigo Ông Kim's 250gr"/>
    <s v="Hộp"/>
    <n v="2"/>
    <n v="0.5"/>
    <d v="1899-12-30T06:00:00"/>
    <n v="44592"/>
    <s v="Hết Date"/>
    <n v="15400"/>
    <x v="0"/>
    <n v="2"/>
    <n v="15400"/>
    <x v="2"/>
    <x v="0"/>
  </r>
  <r>
    <x v="1"/>
    <x v="2"/>
    <n v="44625"/>
    <x v="3"/>
    <x v="0"/>
    <x v="21"/>
    <x v="2"/>
    <x v="66"/>
    <s v="Đậu hũ miếng Bibigo Ông Kim's 250gr"/>
    <s v="Hộp"/>
    <n v="2"/>
    <n v="0.5"/>
    <d v="1899-12-30T06:00:00"/>
    <n v="44599"/>
    <s v="Nhập lại hàng bị hư (NPP AN CÁT)"/>
    <n v="15400"/>
    <x v="0"/>
    <n v="2"/>
    <n v="15400"/>
    <x v="2"/>
    <x v="0"/>
  </r>
  <r>
    <x v="1"/>
    <x v="2"/>
    <n v="44625"/>
    <x v="3"/>
    <x v="0"/>
    <x v="21"/>
    <x v="2"/>
    <x v="87"/>
    <s v="Đậu hũ non Bibigo Ông Kim's 220gr"/>
    <s v="Túi"/>
    <n v="3"/>
    <n v="0.66"/>
    <d v="1899-12-30T05:16:48"/>
    <n v="44550"/>
    <s v="Hết Date"/>
    <n v="17484"/>
    <x v="0"/>
    <n v="3"/>
    <n v="17484"/>
    <x v="2"/>
    <x v="0"/>
  </r>
  <r>
    <x v="1"/>
    <x v="2"/>
    <n v="44625"/>
    <x v="3"/>
    <x v="0"/>
    <x v="21"/>
    <x v="2"/>
    <x v="87"/>
    <s v="Đậu hũ non Bibigo Ông Kim's 220gr"/>
    <s v="Túi"/>
    <n v="3"/>
    <n v="0.66"/>
    <d v="1899-12-30T05:16:48"/>
    <n v="44564"/>
    <s v="Hết Date"/>
    <n v="17484"/>
    <x v="0"/>
    <n v="3"/>
    <n v="17484"/>
    <x v="2"/>
    <x v="0"/>
  </r>
  <r>
    <x v="1"/>
    <x v="2"/>
    <n v="44625"/>
    <x v="3"/>
    <x v="0"/>
    <x v="21"/>
    <x v="2"/>
    <x v="87"/>
    <s v="Đậu hũ non Bibigo Ông Kim's 220gr"/>
    <s v="Túi"/>
    <n v="45"/>
    <n v="9.9"/>
    <d v="1899-12-30T05:16:48"/>
    <n v="44578"/>
    <s v="Hết Date"/>
    <n v="262260"/>
    <x v="0"/>
    <n v="45"/>
    <n v="262260"/>
    <x v="2"/>
    <x v="0"/>
  </r>
  <r>
    <x v="1"/>
    <x v="2"/>
    <n v="44625"/>
    <x v="3"/>
    <x v="0"/>
    <x v="21"/>
    <x v="2"/>
    <x v="87"/>
    <s v="Đậu hũ non Bibigo Ông Kim's 220gr"/>
    <s v="Túi"/>
    <n v="138"/>
    <n v="30.36"/>
    <d v="1899-12-30T05:16:48"/>
    <n v="44585"/>
    <s v="Hết Date"/>
    <n v="804264"/>
    <x v="0"/>
    <n v="138"/>
    <n v="804264"/>
    <x v="2"/>
    <x v="0"/>
  </r>
  <r>
    <x v="1"/>
    <x v="2"/>
    <n v="44625"/>
    <x v="3"/>
    <x v="0"/>
    <x v="21"/>
    <x v="2"/>
    <x v="87"/>
    <s v="Đậu hũ non Bibigo Ông Kim's 220gr"/>
    <s v="Túi"/>
    <n v="8"/>
    <n v="1.76"/>
    <d v="1899-12-30T05:16:48"/>
    <n v="44585"/>
    <s v="Bị đông đá"/>
    <n v="46624"/>
    <x v="0"/>
    <n v="8"/>
    <n v="46624"/>
    <x v="2"/>
    <x v="0"/>
  </r>
  <r>
    <x v="1"/>
    <x v="2"/>
    <n v="44625"/>
    <x v="3"/>
    <x v="0"/>
    <x v="21"/>
    <x v="2"/>
    <x v="107"/>
    <s v="Đậu hũ non Bibigo Ông Kim's 250gr"/>
    <s v="Hộp"/>
    <n v="25"/>
    <n v="6.25"/>
    <d v="1899-12-30T06:00:00"/>
    <n v="44543"/>
    <s v="Hết Date"/>
    <n v="175000"/>
    <x v="0"/>
    <n v="25"/>
    <n v="175000"/>
    <x v="2"/>
    <x v="0"/>
  </r>
  <r>
    <x v="1"/>
    <x v="2"/>
    <n v="44625"/>
    <x v="3"/>
    <x v="0"/>
    <x v="21"/>
    <x v="2"/>
    <x v="107"/>
    <s v="Đậu hũ non Bibigo Ông Kim's 250gr"/>
    <s v="Hộp"/>
    <n v="20"/>
    <n v="5"/>
    <d v="1899-12-30T06:00:00"/>
    <n v="44578"/>
    <s v="Hết Date"/>
    <n v="140000"/>
    <x v="0"/>
    <n v="20"/>
    <n v="140000"/>
    <x v="2"/>
    <x v="0"/>
  </r>
  <r>
    <x v="1"/>
    <x v="2"/>
    <n v="44625"/>
    <x v="3"/>
    <x v="0"/>
    <x v="21"/>
    <x v="2"/>
    <x v="107"/>
    <s v="Đậu hũ non Bibigo Ông Kim's 250gr"/>
    <s v="Hộp"/>
    <n v="144"/>
    <n v="36"/>
    <d v="1899-12-30T06:00:00"/>
    <n v="44585"/>
    <s v="Hết Date"/>
    <n v="1008000"/>
    <x v="0"/>
    <n v="144"/>
    <n v="1008000"/>
    <x v="2"/>
    <x v="0"/>
  </r>
  <r>
    <x v="1"/>
    <x v="2"/>
    <n v="44625"/>
    <x v="3"/>
    <x v="0"/>
    <x v="21"/>
    <x v="2"/>
    <x v="107"/>
    <s v="Đậu hũ non Bibigo Ông Kim's 250gr"/>
    <s v="Hộp"/>
    <n v="1"/>
    <n v="0.25"/>
    <d v="1899-12-30T06:00:00"/>
    <n v="44585"/>
    <s v="Rách"/>
    <n v="7000"/>
    <x v="0"/>
    <n v="1"/>
    <n v="7000"/>
    <x v="2"/>
    <x v="0"/>
  </r>
  <r>
    <x v="1"/>
    <x v="2"/>
    <n v="44625"/>
    <x v="3"/>
    <x v="0"/>
    <x v="21"/>
    <x v="2"/>
    <x v="107"/>
    <s v="Đậu hũ non Bibigo Ông Kim's 250gr"/>
    <s v="Hộp"/>
    <n v="25"/>
    <n v="6.25"/>
    <d v="1899-12-30T06:00:00"/>
    <n v="44592"/>
    <s v="Hết Date"/>
    <n v="175000"/>
    <x v="0"/>
    <n v="25"/>
    <n v="175000"/>
    <x v="2"/>
    <x v="0"/>
  </r>
  <r>
    <x v="1"/>
    <x v="2"/>
    <n v="44625"/>
    <x v="3"/>
    <x v="0"/>
    <x v="21"/>
    <x v="2"/>
    <x v="107"/>
    <s v="Đậu hũ non Bibigo Ông Kim's 250gr"/>
    <s v="Hộp"/>
    <n v="5"/>
    <n v="1.25"/>
    <d v="1899-12-30T06:00:00"/>
    <n v="44592"/>
    <s v="Bể Hộp"/>
    <n v="35000"/>
    <x v="0"/>
    <n v="5"/>
    <n v="35000"/>
    <x v="2"/>
    <x v="0"/>
  </r>
  <r>
    <x v="1"/>
    <x v="2"/>
    <n v="44625"/>
    <x v="5"/>
    <x v="0"/>
    <x v="16"/>
    <x v="2"/>
    <x v="108"/>
    <s v="Cá viên 500g 280 viên/kg"/>
    <s v="Kg"/>
    <n v="0.5"/>
    <n v="0.5"/>
    <d v="1899-12-31T00:00:00"/>
    <n v="44409"/>
    <s v="Hết Date"/>
    <n v="17020.142857142855"/>
    <x v="0"/>
    <n v="0.5"/>
    <n v="17020.142857142855"/>
    <x v="2"/>
    <x v="0"/>
  </r>
  <r>
    <x v="1"/>
    <x v="2"/>
    <n v="44625"/>
    <x v="3"/>
    <x v="0"/>
    <x v="12"/>
    <x v="2"/>
    <x v="85"/>
    <s v="Bibigo Kimchi cải thảo cắt lát 100gr"/>
    <s v="Túi"/>
    <n v="3"/>
    <n v="0.30000000000000004"/>
    <d v="1899-12-30T02:24:00"/>
    <n v="44638"/>
    <s v="Rách"/>
    <n v="21419.9964"/>
    <x v="0"/>
    <n v="3"/>
    <n v="21419.9964"/>
    <x v="2"/>
    <x v="0"/>
  </r>
  <r>
    <x v="1"/>
    <x v="2"/>
    <n v="44625"/>
    <x v="3"/>
    <x v="0"/>
    <x v="12"/>
    <x v="2"/>
    <x v="85"/>
    <s v="Bibigo Kimchi cải thảo cắt lát 100gr"/>
    <s v="Túi"/>
    <n v="10"/>
    <n v="1"/>
    <d v="1899-12-30T02:24:00"/>
    <n v="44645"/>
    <s v="Bị xì"/>
    <n v="71399.987999999998"/>
    <x v="0"/>
    <n v="10"/>
    <n v="71399.987999999998"/>
    <x v="2"/>
    <x v="0"/>
  </r>
  <r>
    <x v="1"/>
    <x v="2"/>
    <n v="44625"/>
    <x v="3"/>
    <x v="0"/>
    <x v="12"/>
    <x v="2"/>
    <x v="5"/>
    <s v="Bibigo Kimchi cải thảo cây 1kg"/>
    <s v="Túi"/>
    <n v="2"/>
    <n v="2"/>
    <d v="1899-12-31T00:00:00"/>
    <n v="44633"/>
    <s v="Rách"/>
    <n v="96600.082200000004"/>
    <x v="0"/>
    <n v="2"/>
    <n v="96600.082200000004"/>
    <x v="2"/>
    <x v="0"/>
  </r>
  <r>
    <x v="1"/>
    <x v="2"/>
    <n v="44625"/>
    <x v="3"/>
    <x v="0"/>
    <x v="12"/>
    <x v="2"/>
    <x v="31"/>
    <s v="Bibigo Kimchi cải thảo - ngò 100gr"/>
    <s v="Túi"/>
    <n v="2"/>
    <n v="0.2"/>
    <d v="1899-12-30T02:24:00"/>
    <n v="44468"/>
    <m/>
    <n v="14479.924800000001"/>
    <x v="0"/>
    <n v="2"/>
    <n v="14479.924800000001"/>
    <x v="2"/>
    <x v="0"/>
  </r>
  <r>
    <x v="1"/>
    <x v="2"/>
    <n v="44625"/>
    <x v="3"/>
    <x v="0"/>
    <x v="12"/>
    <x v="2"/>
    <x v="31"/>
    <s v="Bibigo Kimchi cải thảo - ngò 100gr"/>
    <s v="Túi"/>
    <n v="2"/>
    <n v="0.2"/>
    <d v="1899-12-30T02:24:00"/>
    <n v="44576"/>
    <s v="hàng bị xì"/>
    <n v="14479.924800000001"/>
    <x v="0"/>
    <n v="2"/>
    <n v="14479.924800000001"/>
    <x v="2"/>
    <x v="0"/>
  </r>
  <r>
    <x v="1"/>
    <x v="2"/>
    <n v="44625"/>
    <x v="3"/>
    <x v="0"/>
    <x v="12"/>
    <x v="2"/>
    <x v="55"/>
    <s v="Bibigo Kimchi cải thảo cây 5kg"/>
    <s v="Bịch"/>
    <n v="5"/>
    <n v="25"/>
    <d v="1900-01-04T00:00:00"/>
    <n v="44412"/>
    <m/>
    <n v="912500"/>
    <x v="2"/>
    <n v="0"/>
    <n v="0"/>
    <x v="2"/>
    <x v="0"/>
  </r>
  <r>
    <x v="1"/>
    <x v="2"/>
    <n v="44625"/>
    <x v="3"/>
    <x v="0"/>
    <x v="12"/>
    <x v="2"/>
    <x v="55"/>
    <s v="Bibigo Kimchi cải thảo cây 5kg"/>
    <s v="Bịch"/>
    <n v="1"/>
    <n v="5"/>
    <d v="1900-01-04T00:00:00"/>
    <n v="44626"/>
    <s v="Hàng bể"/>
    <n v="182500"/>
    <x v="0"/>
    <n v="1"/>
    <n v="182500"/>
    <x v="2"/>
    <x v="0"/>
  </r>
  <r>
    <x v="1"/>
    <x v="2"/>
    <n v="44625"/>
    <x v="5"/>
    <x v="0"/>
    <x v="16"/>
    <x v="2"/>
    <x v="173"/>
    <s v="Bò Viên Cầu Tre Gói 400gr (Hàng mát)"/>
    <s v="Gói"/>
    <n v="1"/>
    <n v="0.4"/>
    <d v="1899-12-30T09:36:00"/>
    <n v="44586"/>
    <s v="Hết Date"/>
    <n v="39060"/>
    <x v="0"/>
    <n v="1"/>
    <n v="39060"/>
    <x v="2"/>
    <x v="0"/>
  </r>
  <r>
    <x v="1"/>
    <x v="2"/>
    <n v="44625"/>
    <x v="5"/>
    <x v="0"/>
    <x v="11"/>
    <x v="2"/>
    <x v="26"/>
    <s v="Chả cá viên 500g"/>
    <s v="Túi"/>
    <n v="1"/>
    <n v="0.5"/>
    <d v="1899-12-30T12:00:00"/>
    <n v="44617"/>
    <s v="Xì chân không"/>
    <n v="34099.999600000003"/>
    <x v="0"/>
    <n v="1"/>
    <n v="34099.999600000003"/>
    <x v="2"/>
    <x v="0"/>
  </r>
  <r>
    <x v="1"/>
    <x v="2"/>
    <n v="44625"/>
    <x v="5"/>
    <x v="0"/>
    <x v="11"/>
    <x v="2"/>
    <x v="26"/>
    <s v="Chả cá viên 500g"/>
    <s v="Túi"/>
    <n v="1"/>
    <n v="0.5"/>
    <d v="1899-12-30T12:00:00"/>
    <n v="44626"/>
    <s v="Xì chân không"/>
    <n v="34099.999600000003"/>
    <x v="0"/>
    <n v="1"/>
    <n v="34099.999600000003"/>
    <x v="2"/>
    <x v="0"/>
  </r>
  <r>
    <x v="1"/>
    <x v="2"/>
    <n v="44625"/>
    <x v="5"/>
    <x v="0"/>
    <x v="11"/>
    <x v="2"/>
    <x v="26"/>
    <s v="Chả cá viên 500g"/>
    <s v="Túi"/>
    <n v="3"/>
    <n v="1.5"/>
    <d v="1899-12-30T12:00:00"/>
    <n v="44670"/>
    <s v="Xì Chân không."/>
    <n v="102299.9988"/>
    <x v="0"/>
    <n v="3"/>
    <n v="102299.9988"/>
    <x v="2"/>
    <x v="0"/>
  </r>
  <r>
    <x v="1"/>
    <x v="2"/>
    <n v="44625"/>
    <x v="5"/>
    <x v="0"/>
    <x v="24"/>
    <x v="2"/>
    <x v="33"/>
    <s v="Chả lụa quết nhất phẩm – 200G"/>
    <s v="Gói"/>
    <n v="3"/>
    <n v="0.60000000000000009"/>
    <d v="1899-12-30T04:48:00"/>
    <n v="44626"/>
    <s v="Rách"/>
    <n v="70149"/>
    <x v="0"/>
    <n v="3"/>
    <n v="70149"/>
    <x v="2"/>
    <x v="0"/>
  </r>
  <r>
    <x v="1"/>
    <x v="2"/>
    <n v="44625"/>
    <x v="5"/>
    <x v="0"/>
    <x v="23"/>
    <x v="2"/>
    <x v="84"/>
    <s v="Xúc xích heo vị Mexico (mini) hiệu REAL Gói 200g"/>
    <s v="Gói"/>
    <n v="1"/>
    <n v="0.2"/>
    <d v="1899-12-30T04:48:00"/>
    <n v="44627"/>
    <s v="Nhập lại 1 gói XX mini bị rách (26KC0362)"/>
    <n v="26044.132300000001"/>
    <x v="0"/>
    <n v="1"/>
    <n v="26044.132300000001"/>
    <x v="2"/>
    <x v="0"/>
  </r>
  <r>
    <x v="1"/>
    <x v="2"/>
    <n v="44625"/>
    <x v="5"/>
    <x v="0"/>
    <x v="24"/>
    <x v="2"/>
    <x v="225"/>
    <s v="Chả lụa quết Cầu Tre - Chả bì ớt xiêm xanh 200gr"/>
    <s v="Gói"/>
    <n v="1"/>
    <n v="0.2"/>
    <d v="1899-12-30T04:48:00"/>
    <n v="44589"/>
    <s v="Rách"/>
    <n v="24853.296231375985"/>
    <x v="0"/>
    <n v="1"/>
    <n v="24853.296231375985"/>
    <x v="2"/>
    <x v="0"/>
  </r>
  <r>
    <x v="1"/>
    <x v="2"/>
    <n v="44625"/>
    <x v="5"/>
    <x v="0"/>
    <x v="24"/>
    <x v="2"/>
    <x v="387"/>
    <s v="Chả lụa quết Cầu Tre - Chả bì 200gr"/>
    <s v="Gói"/>
    <n v="1"/>
    <n v="0.2"/>
    <d v="1899-12-30T04:48:00"/>
    <n v="44579"/>
    <s v="Rách"/>
    <n v="24780.668934240359"/>
    <x v="0"/>
    <n v="1"/>
    <n v="24780.668934240359"/>
    <x v="2"/>
    <x v="0"/>
  </r>
  <r>
    <x v="1"/>
    <x v="2"/>
    <n v="44625"/>
    <x v="5"/>
    <x v="0"/>
    <x v="11"/>
    <x v="2"/>
    <x v="399"/>
    <s v="Chả Cá Quết - Chả Cá Kiểu Nha Trang 280G (hàng tặng)"/>
    <s v="Gói"/>
    <n v="2"/>
    <n v="0.56000000000000005"/>
    <d v="1899-12-30T06:43:12"/>
    <n v="44594"/>
    <s v="Hết Date"/>
    <n v="50606.86809815951"/>
    <x v="0"/>
    <n v="2"/>
    <n v="50606.86809815951"/>
    <x v="2"/>
    <x v="0"/>
  </r>
  <r>
    <x v="1"/>
    <x v="2"/>
    <n v="44625"/>
    <x v="1"/>
    <x v="0"/>
    <x v="31"/>
    <x v="2"/>
    <x v="126"/>
    <s v="Cầu Tre Pure bánh tráng chả giò 280g"/>
    <s v="Gói"/>
    <n v="20"/>
    <n v="5.6000000000000005"/>
    <d v="1899-12-30T06:43:12"/>
    <n v="44619"/>
    <s v="Hàng trả BigC"/>
    <n v="233767.272"/>
    <x v="2"/>
    <n v="0"/>
    <n v="0"/>
    <x v="2"/>
    <x v="0"/>
  </r>
  <r>
    <x v="1"/>
    <x v="2"/>
    <n v="44625"/>
    <x v="1"/>
    <x v="0"/>
    <x v="31"/>
    <x v="2"/>
    <x v="126"/>
    <s v="Cầu Tre Pure bánh tráng chả giò 280g"/>
    <s v="Gói"/>
    <n v="1"/>
    <n v="0.28000000000000003"/>
    <d v="1899-12-30T06:43:12"/>
    <n v="44932"/>
    <s v="Bị xì"/>
    <n v="11688.363600000001"/>
    <x v="0"/>
    <n v="1"/>
    <n v="11688.363600000001"/>
    <x v="2"/>
    <x v="0"/>
  </r>
  <r>
    <x v="1"/>
    <x v="2"/>
    <n v="44625"/>
    <x v="2"/>
    <x v="0"/>
    <x v="52"/>
    <x v="2"/>
    <x v="400"/>
    <s v="Bộ quà tặng hắc sâm và gối thảo mộc"/>
    <s v="Hộp"/>
    <n v="1"/>
    <n v="0.1"/>
    <d v="1899-12-30T02:24:00"/>
    <n v="45317"/>
    <s v="Thu hồi của Onpiont"/>
    <n v="354240"/>
    <x v="0"/>
    <n v="1"/>
    <n v="354240"/>
    <x v="2"/>
    <x v="0"/>
  </r>
  <r>
    <x v="1"/>
    <x v="2"/>
    <n v="44625"/>
    <x v="1"/>
    <x v="0"/>
    <x v="51"/>
    <x v="2"/>
    <x v="233"/>
    <s v="Miến Hàn Quốc 1KG"/>
    <s v="Gói"/>
    <n v="1"/>
    <n v="1"/>
    <d v="1899-12-31T00:00:00"/>
    <n v="45198"/>
    <s v="bị rách"/>
    <n v="59100"/>
    <x v="0"/>
    <n v="1"/>
    <n v="59100"/>
    <x v="2"/>
    <x v="0"/>
  </r>
  <r>
    <x v="1"/>
    <x v="2"/>
    <n v="44625"/>
    <x v="2"/>
    <x v="0"/>
    <x v="36"/>
    <x v="2"/>
    <x v="8"/>
    <s v="Thực Phẩm Bảo Vệ Sức Khỏe INNERB AQUA RICH (28G*20EA/CT)"/>
    <s v="Hộp"/>
    <n v="8"/>
    <n v="0.224"/>
    <d v="1899-12-30T00:40:19"/>
    <n v="44566"/>
    <s v="Hàng thu hồi Pharmacity bị bể Tài đã Hủy rồi."/>
    <n v="1489554.6"/>
    <x v="0"/>
    <n v="8"/>
    <n v="1489554.6"/>
    <x v="2"/>
    <x v="0"/>
  </r>
  <r>
    <x v="1"/>
    <x v="2"/>
    <n v="44625"/>
    <x v="2"/>
    <x v="0"/>
    <x v="34"/>
    <x v="2"/>
    <x v="139"/>
    <s v="Thực Phẩm Bảo Vệ Sức Khỏe INNERB AQUA RICH DOUBLEUP (33.6G*20EA/CT)"/>
    <s v="Hộp"/>
    <n v="2"/>
    <n v="6.7199999999999996E-2"/>
    <d v="1899-12-30T00:48:23"/>
    <n v="45243"/>
    <s v="bị rách thùng nguyên"/>
    <n v="304716.15720000002"/>
    <x v="0"/>
    <n v="2"/>
    <n v="304716.15720000002"/>
    <x v="2"/>
    <x v="0"/>
  </r>
  <r>
    <x v="1"/>
    <x v="2"/>
    <n v="44625"/>
    <x v="2"/>
    <x v="0"/>
    <x v="34"/>
    <x v="2"/>
    <x v="140"/>
    <s v="Thực Phẩm Bảo Vệ Sức Khỏe INNERB AQUA RICH DOUBLEUP (42G*20EA/CT)"/>
    <s v="Hộp"/>
    <n v="1"/>
    <n v="4.2000000000000003E-2"/>
    <d v="1899-12-30T01:00:29"/>
    <n v="45021"/>
    <s v="hàng thu hồi Kvic Partners ko có vỏ hộp"/>
    <n v="205063.4846"/>
    <x v="0"/>
    <n v="1"/>
    <n v="205063.4846"/>
    <x v="2"/>
    <x v="0"/>
  </r>
  <r>
    <x v="1"/>
    <x v="2"/>
    <n v="44625"/>
    <x v="2"/>
    <x v="0"/>
    <x v="34"/>
    <x v="2"/>
    <x v="140"/>
    <s v="Thực Phẩm Bảo Vệ Sức Khỏe INNERB AQUA RICH DOUBLEUP (42G*20EA/CT)"/>
    <s v="Hộp"/>
    <n v="1"/>
    <n v="4.2000000000000003E-2"/>
    <d v="1899-12-30T01:00:29"/>
    <n v="45021"/>
    <s v="hàng thu hồi Kvic Partners bị mất tem niêm phong"/>
    <n v="205063.4846"/>
    <x v="0"/>
    <n v="1"/>
    <n v="205063.4846"/>
    <x v="2"/>
    <x v="0"/>
  </r>
  <r>
    <x v="1"/>
    <x v="2"/>
    <n v="44625"/>
    <x v="2"/>
    <x v="0"/>
    <x v="52"/>
    <x v="2"/>
    <x v="393"/>
    <s v="Black Ginseng extract 10g *24"/>
    <s v="Hộp"/>
    <n v="5"/>
    <n v="0.5"/>
    <d v="1899-12-30T02:24:00"/>
    <n v="45020"/>
    <s v="(blank)"/>
    <n v="379435.29950000002"/>
    <x v="0"/>
    <n v="5"/>
    <n v="379435.29950000002"/>
    <x v="2"/>
    <x v="0"/>
  </r>
  <r>
    <x v="1"/>
    <x v="2"/>
    <n v="44625"/>
    <x v="4"/>
    <x v="0"/>
    <x v="25"/>
    <x v="2"/>
    <x v="143"/>
    <s v="Xốt ướp Bulgogi bò 10KG"/>
    <s v="Thùng"/>
    <n v="1"/>
    <n v="10"/>
    <d v="1900-01-09T00:00:00"/>
    <n v="44856"/>
    <s v="Hàng bị bể trên cont"/>
    <n v="317140.03069767443"/>
    <x v="0"/>
    <n v="1"/>
    <n v="317140.03069767443"/>
    <x v="2"/>
    <x v="0"/>
  </r>
  <r>
    <x v="1"/>
    <x v="2"/>
    <n v="44625"/>
    <x v="2"/>
    <x v="0"/>
    <x v="7"/>
    <x v="2"/>
    <x v="148"/>
    <s v="Trà Oolong - Hộp 200G"/>
    <s v="Hộp"/>
    <n v="1"/>
    <n v="0.2"/>
    <d v="1899-12-30T04:48:00"/>
    <n v="45256"/>
    <s v="Bị rách trong thùng nguyên"/>
    <n v="80375.433333333334"/>
    <x v="0"/>
    <n v="1"/>
    <n v="80375.433333333334"/>
    <x v="2"/>
    <x v="0"/>
  </r>
  <r>
    <x v="1"/>
    <x v="2"/>
    <n v="44625"/>
    <x v="4"/>
    <x v="0"/>
    <x v="25"/>
    <x v="2"/>
    <x v="190"/>
    <s v="(BEKSUL) Xốt ướp Bulgogi bò 290G"/>
    <s v="Hũ"/>
    <n v="1"/>
    <n v="0.28999999999999998"/>
    <d v="1899-12-30T06:57:36"/>
    <n v="45029"/>
    <s v="bị bể trong thùng"/>
    <n v="16158.7338"/>
    <x v="0"/>
    <n v="1"/>
    <n v="16158.7338"/>
    <x v="2"/>
    <x v="0"/>
  </r>
  <r>
    <x v="1"/>
    <x v="2"/>
    <n v="44625"/>
    <x v="1"/>
    <x v="0"/>
    <x v="54"/>
    <x v="2"/>
    <x v="185"/>
    <s v="Cầu Tre Pure bún tươi 300g_AUS"/>
    <s v="Gói"/>
    <n v="2"/>
    <n v="0.6"/>
    <d v="1899-12-30T07:12:00"/>
    <n v="44886"/>
    <s v="bị rách"/>
    <n v="19240"/>
    <x v="0"/>
    <n v="2"/>
    <n v="19240"/>
    <x v="2"/>
    <x v="0"/>
  </r>
  <r>
    <x v="1"/>
    <x v="2"/>
    <n v="44625"/>
    <x v="1"/>
    <x v="0"/>
    <x v="54"/>
    <x v="2"/>
    <x v="185"/>
    <s v="Cầu Tre Pure bún tươi 300g_AUS"/>
    <s v="Gói"/>
    <n v="1"/>
    <n v="0.3"/>
    <d v="1899-12-30T07:12:00"/>
    <n v="44886"/>
    <s v="rách bao bì"/>
    <n v="9620"/>
    <x v="0"/>
    <n v="1"/>
    <n v="9620"/>
    <x v="2"/>
    <x v="0"/>
  </r>
  <r>
    <x v="1"/>
    <x v="2"/>
    <n v="44625"/>
    <x v="4"/>
    <x v="0"/>
    <x v="32"/>
    <x v="2"/>
    <x v="392"/>
    <s v="Tương chấm thịt nướng (450G*24EA)/CT"/>
    <s v="Hộp"/>
    <n v="3"/>
    <n v="1.35"/>
    <d v="1899-12-30T10:48:00"/>
    <n v="44807"/>
    <s v="Hàng bể trên cont"/>
    <n v="79376.81637666325"/>
    <x v="0"/>
    <n v="3"/>
    <n v="79376.81637666325"/>
    <x v="2"/>
    <x v="0"/>
  </r>
  <r>
    <x v="1"/>
    <x v="2"/>
    <n v="44625"/>
    <x v="2"/>
    <x v="0"/>
    <x v="7"/>
    <x v="2"/>
    <x v="148"/>
    <s v="Trà Oolong - Hộp 200G"/>
    <s v="Hộp"/>
    <n v="1"/>
    <n v="0.2"/>
    <d v="1899-12-30T04:48:00"/>
    <n v="45252"/>
    <s v="bị rách,móp"/>
    <n v="80375.433333333334"/>
    <x v="0"/>
    <n v="1"/>
    <n v="80375.433333333334"/>
    <x v="2"/>
    <x v="0"/>
  </r>
  <r>
    <x v="1"/>
    <x v="2"/>
    <n v="44625"/>
    <x v="3"/>
    <x v="0"/>
    <x v="12"/>
    <x v="0"/>
    <x v="31"/>
    <s v="Bibigo Kimchi cải thảo - ngò 100gr"/>
    <s v="Túi"/>
    <n v="1"/>
    <n v="0.1"/>
    <d v="1899-12-30T02:24:00"/>
    <n v="44612"/>
    <s v="Lỗi mờ date- Phát hiện trong kho"/>
    <n v="7239.9624000000003"/>
    <x v="1"/>
    <n v="0"/>
    <n v="0"/>
    <x v="2"/>
    <x v="0"/>
  </r>
  <r>
    <x v="1"/>
    <x v="2"/>
    <n v="44625"/>
    <x v="3"/>
    <x v="0"/>
    <x v="12"/>
    <x v="0"/>
    <x v="5"/>
    <s v="Bibigo Kimchi cải thảo cây 1kg"/>
    <s v="Túi"/>
    <n v="1"/>
    <n v="1"/>
    <d v="1899-12-31T00:00:00"/>
    <n v="44616"/>
    <s v="Lỗi mờ date- Lỗi phát hiện trong kho"/>
    <n v="48300.041100000002"/>
    <x v="1"/>
    <n v="0"/>
    <n v="0"/>
    <x v="2"/>
    <x v="0"/>
  </r>
  <r>
    <x v="1"/>
    <x v="2"/>
    <n v="44625"/>
    <x v="3"/>
    <x v="0"/>
    <x v="12"/>
    <x v="0"/>
    <x v="85"/>
    <s v="Bibigo Kimchi cải thảo cắt lát 100gr"/>
    <s v="Túi"/>
    <n v="1"/>
    <n v="0.1"/>
    <d v="1899-12-30T02:24:00"/>
    <n v="44625"/>
    <s v="Lỗi mờ date- Phát hiện khi giao hàng PXK212201/7043"/>
    <n v="7139.9988000000003"/>
    <x v="1"/>
    <n v="0"/>
    <n v="0"/>
    <x v="2"/>
    <x v="0"/>
  </r>
  <r>
    <x v="1"/>
    <x v="1"/>
    <n v="44618"/>
    <x v="8"/>
    <x v="1"/>
    <x v="22"/>
    <x v="1"/>
    <x v="401"/>
    <s v="CỐM XANH"/>
    <s v="Kg"/>
    <n v="99.7"/>
    <n v="99.7"/>
    <d v="1899-12-31T00:00:00"/>
    <n v="44591"/>
    <s v="no production plan"/>
    <n v="3230235"/>
    <x v="0"/>
    <n v="99.7"/>
    <n v="3230235"/>
    <x v="2"/>
    <x v="0"/>
  </r>
  <r>
    <x v="1"/>
    <x v="1"/>
    <n v="44618"/>
    <x v="8"/>
    <x v="1"/>
    <x v="22"/>
    <x v="3"/>
    <x v="320"/>
    <s v="Sauce Kim chi"/>
    <s v="Kg"/>
    <n v="160"/>
    <n v="160"/>
    <d v="1899-12-31T00:00:00"/>
    <n v="44557"/>
    <s v="quality issue"/>
    <n v="6029139.4509803923"/>
    <x v="0"/>
    <n v="160"/>
    <n v="6029139.4509803923"/>
    <x v="2"/>
    <x v="0"/>
  </r>
  <r>
    <x v="1"/>
    <x v="1"/>
    <n v="44618"/>
    <x v="8"/>
    <x v="1"/>
    <x v="22"/>
    <x v="3"/>
    <x v="320"/>
    <s v="Sauce Kim chi"/>
    <s v="Kg"/>
    <n v="120"/>
    <n v="120"/>
    <d v="1899-12-31T00:00:00"/>
    <n v="44615"/>
    <s v="quality issue"/>
    <n v="4521854.5882352944"/>
    <x v="0"/>
    <n v="120"/>
    <n v="4521854.5882352944"/>
    <x v="2"/>
    <x v="0"/>
  </r>
  <r>
    <x v="1"/>
    <x v="1"/>
    <n v="44618"/>
    <x v="8"/>
    <x v="1"/>
    <x v="22"/>
    <x v="1"/>
    <x v="402"/>
    <s v="Mai ghẹ khô NL - size 70G"/>
    <s v="Kg"/>
    <n v="418.4"/>
    <n v="418.4"/>
    <d v="1899-12-31T00:00:00"/>
    <m/>
    <s v="no production plan and used for crab product in 2018"/>
    <n v="30720616"/>
    <x v="0"/>
    <n v="418.4"/>
    <n v="30720616"/>
    <x v="2"/>
    <x v="0"/>
  </r>
  <r>
    <x v="1"/>
    <x v="1"/>
    <n v="44618"/>
    <x v="8"/>
    <x v="1"/>
    <x v="22"/>
    <x v="1"/>
    <x v="164"/>
    <s v="Hương gà 563566 C16  / Chicken Flavor"/>
    <s v="Kg"/>
    <n v="24"/>
    <n v="24"/>
    <d v="1899-12-31T00:00:00"/>
    <n v="44585"/>
    <s v="expired  and  was raised in internal sale e-approval 11.16.2021"/>
    <n v="16257600"/>
    <x v="0"/>
    <n v="24"/>
    <n v="16257600"/>
    <x v="2"/>
    <x v="0"/>
  </r>
  <r>
    <x v="1"/>
    <x v="1"/>
    <n v="44618"/>
    <x v="8"/>
    <x v="1"/>
    <x v="22"/>
    <x v="1"/>
    <x v="209"/>
    <s v="Màu thực phẩm (đỏ) PONCEAU 4R"/>
    <s v="Kg"/>
    <n v="0.45500000000000002"/>
    <n v="0.45500000000000002"/>
    <d v="1899-12-31T00:00:00"/>
    <n v="44599"/>
    <s v="expired and no produciton plan"/>
    <n v="166546.38"/>
    <x v="0"/>
    <n v="0.45500000000000002"/>
    <n v="166546.38"/>
    <x v="2"/>
    <x v="0"/>
  </r>
  <r>
    <x v="1"/>
    <x v="1"/>
    <n v="44618"/>
    <x v="8"/>
    <x v="1"/>
    <x v="22"/>
    <x v="1"/>
    <x v="174"/>
    <s v="Sữa bột béo (New Zealand)"/>
    <s v="Kg"/>
    <n v="15.173"/>
    <n v="15.173"/>
    <d v="1899-12-31T00:00:00"/>
    <n v="44609"/>
    <s v="expired  and  was raised in internal sale e-approval 12.27.2021"/>
    <n v="1558826.5141916603"/>
    <x v="0"/>
    <n v="15.173"/>
    <n v="1558826.5141916603"/>
    <x v="2"/>
    <x v="0"/>
  </r>
  <r>
    <x v="1"/>
    <x v="2"/>
    <n v="44638"/>
    <x v="3"/>
    <x v="0"/>
    <x v="12"/>
    <x v="2"/>
    <x v="31"/>
    <s v="Bibigo Kimchi cải thảo - ngò 100gr"/>
    <s v="Túi"/>
    <n v="15"/>
    <n v="1.5"/>
    <d v="1899-12-30T02:24:00"/>
    <n v="44624"/>
    <s v="Slow moving"/>
    <n v="108599.436"/>
    <x v="0"/>
    <n v="15"/>
    <n v="108599.436"/>
    <x v="2"/>
    <x v="0"/>
  </r>
  <r>
    <x v="1"/>
    <x v="2"/>
    <n v="44638"/>
    <x v="3"/>
    <x v="0"/>
    <x v="12"/>
    <x v="2"/>
    <x v="68"/>
    <s v="Bibigo Kimchi cải thảo - ngò 500gr"/>
    <s v="Hộp"/>
    <n v="980"/>
    <n v="490"/>
    <d v="1899-12-30T12:00:00"/>
    <n v="44634"/>
    <s v="Slow moving"/>
    <n v="25676088.592"/>
    <x v="0"/>
    <n v="980"/>
    <n v="25676088.592"/>
    <x v="2"/>
    <x v="0"/>
  </r>
  <r>
    <x v="1"/>
    <x v="2"/>
    <n v="44638"/>
    <x v="4"/>
    <x v="0"/>
    <x v="25"/>
    <x v="2"/>
    <x v="191"/>
    <s v="(BEKSUL) Xốt ướp sườn bò 290G"/>
    <s v="Hũ"/>
    <n v="15"/>
    <n v="4.3499999999999996"/>
    <d v="1899-12-30T06:57:36"/>
    <n v="44629"/>
    <s v="Slow moving"/>
    <n v="252935.92499999999"/>
    <x v="0"/>
    <n v="15"/>
    <n v="252935.92499999999"/>
    <x v="2"/>
    <x v="0"/>
  </r>
  <r>
    <x v="1"/>
    <x v="2"/>
    <n v="44638"/>
    <x v="0"/>
    <x v="0"/>
    <x v="18"/>
    <x v="2"/>
    <x v="114"/>
    <s v="Bánh Mandu Hải Sản CJ Bibigo – Gói 350g"/>
    <s v="Gói"/>
    <n v="5"/>
    <n v="1.75"/>
    <d v="1899-12-30T08:24:00"/>
    <n v="44622"/>
    <s v="Slow moving"/>
    <n v="138192.5"/>
    <x v="0"/>
    <n v="5"/>
    <n v="138192.5"/>
    <x v="2"/>
    <x v="0"/>
  </r>
  <r>
    <x v="1"/>
    <x v="2"/>
    <n v="44638"/>
    <x v="0"/>
    <x v="0"/>
    <x v="18"/>
    <x v="2"/>
    <x v="145"/>
    <s v="Bánh Mandu Thịt CJ Bibigo – Gói 350g (GT)"/>
    <s v="Gói"/>
    <n v="4"/>
    <n v="1.4"/>
    <d v="1899-12-30T08:24:00"/>
    <n v="44630"/>
    <s v="Slow moving"/>
    <n v="101760"/>
    <x v="0"/>
    <n v="4"/>
    <n v="101760"/>
    <x v="2"/>
    <x v="0"/>
  </r>
  <r>
    <x v="1"/>
    <x v="2"/>
    <n v="44638"/>
    <x v="3"/>
    <x v="0"/>
    <x v="21"/>
    <x v="2"/>
    <x v="107"/>
    <s v="Đậu hũ non Bibigo Ông Kim's 250gr"/>
    <s v="Hộp"/>
    <n v="2"/>
    <n v="0.5"/>
    <d v="1899-12-30T06:00:00"/>
    <n v="44648"/>
    <s v="Xì"/>
    <n v="14000"/>
    <x v="0"/>
    <n v="2"/>
    <n v="14000"/>
    <x v="2"/>
    <x v="0"/>
  </r>
  <r>
    <x v="1"/>
    <x v="2"/>
    <n v="44638"/>
    <x v="3"/>
    <x v="0"/>
    <x v="12"/>
    <x v="2"/>
    <x v="339"/>
    <s v="Bibigo Kimchi cải thảo cắt lát 3kg"/>
    <s v="Túi"/>
    <n v="5"/>
    <n v="15"/>
    <d v="1900-01-02T00:00:00"/>
    <n v="44646"/>
    <s v="bị bể"/>
    <n v="551000"/>
    <x v="0"/>
    <n v="5"/>
    <n v="551000"/>
    <x v="2"/>
    <x v="0"/>
  </r>
  <r>
    <x v="1"/>
    <x v="2"/>
    <n v="44638"/>
    <x v="3"/>
    <x v="0"/>
    <x v="12"/>
    <x v="2"/>
    <x v="339"/>
    <s v="Bibigo Kimchi cải thảo cắt lát 3kg"/>
    <s v="Túi"/>
    <n v="12"/>
    <n v="36"/>
    <d v="1900-01-02T00:00:00"/>
    <n v="44687"/>
    <s v="Xì"/>
    <n v="1322400"/>
    <x v="0"/>
    <n v="12"/>
    <n v="1322400"/>
    <x v="2"/>
    <x v="0"/>
  </r>
  <r>
    <x v="1"/>
    <x v="2"/>
    <n v="44638"/>
    <x v="0"/>
    <x v="0"/>
    <x v="18"/>
    <x v="2"/>
    <x v="255"/>
    <s v="Bibigo Mandu Thịt 175g - CT tặng kèm Chà giò Cầu Tre (thùng 20 gói) - Tặng Real Thịt, Real Hải Sản, Da Xốp Thịt"/>
    <s v="Gói"/>
    <n v="2"/>
    <n v="0.35"/>
    <d v="1899-12-30T04:12:00"/>
    <n v="44840"/>
    <s v="rách"/>
    <n v="25840.001400000001"/>
    <x v="0"/>
    <n v="2"/>
    <n v="25840.001400000001"/>
    <x v="2"/>
    <x v="0"/>
  </r>
  <r>
    <x v="1"/>
    <x v="2"/>
    <n v="44638"/>
    <x v="7"/>
    <x v="0"/>
    <x v="37"/>
    <x v="2"/>
    <x v="82"/>
    <s v="Bột Chiên Giòn 150G"/>
    <s v="Túi"/>
    <n v="2"/>
    <n v="0.3"/>
    <d v="1899-12-30T03:36:00"/>
    <n v="44896"/>
    <s v="rách"/>
    <n v="10119.627906976744"/>
    <x v="0"/>
    <n v="2"/>
    <n v="10119.627906976744"/>
    <x v="2"/>
    <x v="0"/>
  </r>
  <r>
    <x v="1"/>
    <x v="2"/>
    <n v="44638"/>
    <x v="7"/>
    <x v="0"/>
    <x v="37"/>
    <x v="2"/>
    <x v="258"/>
    <s v="Bột mì 1KG"/>
    <s v="Gói"/>
    <n v="3"/>
    <n v="3"/>
    <d v="1899-12-31T00:00:00"/>
    <n v="44884"/>
    <s v="Xì"/>
    <n v="49887"/>
    <x v="0"/>
    <n v="3"/>
    <n v="49887"/>
    <x v="2"/>
    <x v="0"/>
  </r>
  <r>
    <x v="1"/>
    <x v="2"/>
    <n v="44638"/>
    <x v="7"/>
    <x v="0"/>
    <x v="37"/>
    <x v="2"/>
    <x v="258"/>
    <s v="Bột mì 1KG"/>
    <s v="Gói"/>
    <n v="1"/>
    <n v="1"/>
    <d v="1899-12-31T00:00:00"/>
    <n v="44937"/>
    <s v="Xì"/>
    <n v="16629"/>
    <x v="0"/>
    <n v="1"/>
    <n v="16629"/>
    <x v="2"/>
    <x v="0"/>
  </r>
  <r>
    <x v="1"/>
    <x v="2"/>
    <n v="44638"/>
    <x v="4"/>
    <x v="0"/>
    <x v="32"/>
    <x v="2"/>
    <x v="248"/>
    <s v="Tương trộn ăn liền gold 14KG"/>
    <s v="Thùng"/>
    <n v="1"/>
    <n v="14"/>
    <d v="1900-01-13T00:00:00"/>
    <n v="44724"/>
    <s v="hàng bị mốc"/>
    <n v="365858.73729999998"/>
    <x v="0"/>
    <n v="1"/>
    <n v="365858.73729999998"/>
    <x v="2"/>
    <x v="0"/>
  </r>
  <r>
    <x v="1"/>
    <x v="2"/>
    <n v="44638"/>
    <x v="2"/>
    <x v="0"/>
    <x v="36"/>
    <x v="2"/>
    <x v="7"/>
    <s v="Nước Uống Collagen Innerb Glowshot ((50ML*6EA)*10EA/CT)"/>
    <s v="Hộp"/>
    <n v="1"/>
    <n v="0.3"/>
    <d v="1899-12-30T07:12:00"/>
    <n v="44505"/>
    <s v="bị móp trong thùng"/>
    <n v="68545.319399999993"/>
    <x v="0"/>
    <n v="1"/>
    <n v="68545.319399999993"/>
    <x v="2"/>
    <x v="0"/>
  </r>
  <r>
    <x v="1"/>
    <x v="2"/>
    <n v="44638"/>
    <x v="4"/>
    <x v="0"/>
    <x v="25"/>
    <x v="2"/>
    <x v="191"/>
    <s v="(BEKSUL) Xốt ướp sườn bò 290G"/>
    <s v="Hũ"/>
    <n v="1"/>
    <n v="0.28999999999999998"/>
    <d v="1899-12-30T06:57:36"/>
    <n v="45118"/>
    <s v="Bể"/>
    <n v="16862.395"/>
    <x v="0"/>
    <n v="1"/>
    <n v="16862.395"/>
    <x v="2"/>
    <x v="0"/>
  </r>
  <r>
    <x v="1"/>
    <x v="2"/>
    <n v="44638"/>
    <x v="5"/>
    <x v="0"/>
    <x v="16"/>
    <x v="2"/>
    <x v="26"/>
    <s v="Chả cá viên 500g"/>
    <s v="Túi"/>
    <n v="1"/>
    <n v="0.5"/>
    <d v="1899-12-30T12:00:00"/>
    <n v="44678"/>
    <s v="Xì"/>
    <n v="34128.045714285712"/>
    <x v="0"/>
    <n v="1"/>
    <n v="34128.045714285712"/>
    <x v="2"/>
    <x v="0"/>
  </r>
  <r>
    <x v="1"/>
    <x v="2"/>
    <n v="44638"/>
    <x v="5"/>
    <x v="0"/>
    <x v="16"/>
    <x v="2"/>
    <x v="27"/>
    <s v="Bò viên ngon Cầu Tre 500gr"/>
    <s v="Gói"/>
    <n v="1"/>
    <n v="0.5"/>
    <d v="1899-12-30T12:00:00"/>
    <n v="44868"/>
    <s v="Rách"/>
    <n v="53251.4"/>
    <x v="0"/>
    <n v="1"/>
    <n v="53251.4"/>
    <x v="2"/>
    <x v="0"/>
  </r>
  <r>
    <x v="1"/>
    <x v="2"/>
    <n v="44638"/>
    <x v="0"/>
    <x v="0"/>
    <x v="18"/>
    <x v="2"/>
    <x v="168"/>
    <s v="Bánh Mandu Thịt CJ Bibigo – Gói 175g"/>
    <s v="Gói"/>
    <n v="6"/>
    <n v="1.0499999999999998"/>
    <d v="1899-12-30T04:12:00"/>
    <n v="44885"/>
    <s v="rách"/>
    <n v="77520.004199999996"/>
    <x v="0"/>
    <n v="6"/>
    <n v="77520.004199999996"/>
    <x v="2"/>
    <x v="0"/>
  </r>
  <r>
    <x v="1"/>
    <x v="2"/>
    <n v="44638"/>
    <x v="0"/>
    <x v="0"/>
    <x v="18"/>
    <x v="2"/>
    <x v="168"/>
    <s v="Bánh Mandu Thịt CJ Bibigo – Gói 175g"/>
    <s v="Gói"/>
    <n v="2"/>
    <n v="0.35"/>
    <d v="1899-12-30T04:12:00"/>
    <n v="44885"/>
    <s v="Hở miệng"/>
    <n v="25840.001400000001"/>
    <x v="0"/>
    <n v="2"/>
    <n v="25840.001400000001"/>
    <x v="2"/>
    <x v="0"/>
  </r>
  <r>
    <x v="1"/>
    <x v="2"/>
    <n v="44638"/>
    <x v="0"/>
    <x v="0"/>
    <x v="18"/>
    <x v="2"/>
    <x v="246"/>
    <s v="Bánh Mandu Thịt và Bắp CJ Bibigo – Gói 175g"/>
    <s v="Gói"/>
    <n v="1"/>
    <n v="0.17499999999999999"/>
    <d v="1899-12-30T04:12:00"/>
    <n v="44982"/>
    <s v="rách"/>
    <n v="15220"/>
    <x v="0"/>
    <n v="1"/>
    <n v="15220"/>
    <x v="2"/>
    <x v="0"/>
  </r>
  <r>
    <x v="1"/>
    <x v="2"/>
    <n v="44638"/>
    <x v="0"/>
    <x v="0"/>
    <x v="18"/>
    <x v="2"/>
    <x v="129"/>
    <s v="Bánh Mandu Hải Sản CJ Bibigo – Gói 175g"/>
    <s v="Gói"/>
    <n v="1"/>
    <n v="0.17499999999999999"/>
    <d v="1899-12-30T04:12:00"/>
    <n v="44846"/>
    <s v="rách"/>
    <n v="14620.010700000001"/>
    <x v="0"/>
    <n v="1"/>
    <n v="14620.010700000001"/>
    <x v="2"/>
    <x v="0"/>
  </r>
  <r>
    <x v="1"/>
    <x v="2"/>
    <n v="44638"/>
    <x v="1"/>
    <x v="0"/>
    <x v="41"/>
    <x v="2"/>
    <x v="334"/>
    <s v="CJ Cautre I’m Rice Cơm chiên Kimchi Khay 150g"/>
    <s v="Khay"/>
    <n v="3"/>
    <n v="0.45"/>
    <d v="1899-12-30T03:36:00"/>
    <n v="44936"/>
    <s v="Bể"/>
    <n v="31380.003299999997"/>
    <x v="0"/>
    <n v="3"/>
    <n v="31380.003299999997"/>
    <x v="2"/>
    <x v="0"/>
  </r>
  <r>
    <x v="1"/>
    <x v="2"/>
    <n v="44638"/>
    <x v="1"/>
    <x v="0"/>
    <x v="41"/>
    <x v="2"/>
    <x v="333"/>
    <s v="CJ Cautre I’m Rice Cơm chiên Hải Sản Khay 150g"/>
    <s v="Khay"/>
    <n v="14"/>
    <n v="2.1"/>
    <d v="1899-12-30T03:36:00"/>
    <n v="44941"/>
    <s v="Bể"/>
    <n v="130648"/>
    <x v="0"/>
    <n v="14"/>
    <n v="130648"/>
    <x v="2"/>
    <x v="0"/>
  </r>
  <r>
    <x v="1"/>
    <x v="2"/>
    <n v="44638"/>
    <x v="1"/>
    <x v="0"/>
    <x v="41"/>
    <x v="2"/>
    <x v="333"/>
    <s v="CJ Cautre I’m Rice Cơm chiên Hải Sản Khay 150g"/>
    <s v="Khay"/>
    <n v="1"/>
    <n v="0.15"/>
    <d v="1899-12-30T03:36:00"/>
    <n v="44941"/>
    <s v="rách"/>
    <n v="9332"/>
    <x v="0"/>
    <n v="1"/>
    <n v="9332"/>
    <x v="2"/>
    <x v="0"/>
  </r>
  <r>
    <x v="1"/>
    <x v="2"/>
    <n v="44638"/>
    <x v="1"/>
    <x v="0"/>
    <x v="41"/>
    <x v="2"/>
    <x v="333"/>
    <s v="CJ Cautre I’m Rice Cơm chiên Hải Sản Khay 150g"/>
    <s v="Khay"/>
    <n v="11"/>
    <n v="1.65"/>
    <d v="1899-12-30T03:36:00"/>
    <n v="44943"/>
    <s v="Rách"/>
    <n v="102652"/>
    <x v="0"/>
    <n v="11"/>
    <n v="102652"/>
    <x v="2"/>
    <x v="0"/>
  </r>
  <r>
    <x v="1"/>
    <x v="2"/>
    <n v="44638"/>
    <x v="0"/>
    <x v="0"/>
    <x v="0"/>
    <x v="2"/>
    <x v="227"/>
    <s v="Chả Giò Đặc Biệt Hải Sản- Gói 500G"/>
    <s v="Gói"/>
    <n v="1"/>
    <n v="0.5"/>
    <d v="1899-12-30T12:00:00"/>
    <n v="44981"/>
    <s v="rách"/>
    <n v="27292.25"/>
    <x v="0"/>
    <n v="1"/>
    <n v="27292.25"/>
    <x v="2"/>
    <x v="0"/>
  </r>
  <r>
    <x v="1"/>
    <x v="2"/>
    <n v="44638"/>
    <x v="5"/>
    <x v="0"/>
    <x v="16"/>
    <x v="2"/>
    <x v="231"/>
    <s v="Cá viên - Gói 250G"/>
    <s v="Gói"/>
    <n v="14"/>
    <n v="3.5"/>
    <d v="1899-12-30T06:00:00"/>
    <n v="44967"/>
    <s v="Xì"/>
    <n v="230998.33333333337"/>
    <x v="0"/>
    <n v="14"/>
    <n v="230998.33333333337"/>
    <x v="2"/>
    <x v="0"/>
  </r>
  <r>
    <x v="1"/>
    <x v="2"/>
    <n v="44638"/>
    <x v="5"/>
    <x v="0"/>
    <x v="16"/>
    <x v="2"/>
    <x v="46"/>
    <s v="Cá viên ngon Cầu Tre 500gr"/>
    <s v="Túi"/>
    <n v="2"/>
    <n v="1"/>
    <d v="1899-12-30T12:00:00"/>
    <n v="44951"/>
    <s v="Xì"/>
    <n v="52600"/>
    <x v="0"/>
    <n v="2"/>
    <n v="52600"/>
    <x v="2"/>
    <x v="0"/>
  </r>
  <r>
    <x v="1"/>
    <x v="2"/>
    <n v="44638"/>
    <x v="0"/>
    <x v="0"/>
    <x v="3"/>
    <x v="2"/>
    <x v="125"/>
    <s v="Há Cảo CTE Mini - Gói 500g"/>
    <s v="Gói"/>
    <n v="1"/>
    <n v="0.5"/>
    <d v="1899-12-30T12:00:00"/>
    <n v="44982"/>
    <s v="Rách"/>
    <n v="36052"/>
    <x v="0"/>
    <n v="1"/>
    <n v="36052"/>
    <x v="2"/>
    <x v="0"/>
  </r>
  <r>
    <x v="1"/>
    <x v="2"/>
    <n v="44638"/>
    <x v="0"/>
    <x v="0"/>
    <x v="0"/>
    <x v="2"/>
    <x v="337"/>
    <s v="Nem Real Kiểu Hà Nội Nhân Thịt - Gói 360G"/>
    <s v="Gói"/>
    <n v="1"/>
    <n v="0.36"/>
    <d v="1899-12-30T08:38:24"/>
    <n v="44948"/>
    <s v="Rách"/>
    <n v="30464.021400000001"/>
    <x v="0"/>
    <n v="1"/>
    <n v="30464.021400000001"/>
    <x v="2"/>
    <x v="0"/>
  </r>
  <r>
    <x v="1"/>
    <x v="2"/>
    <n v="44638"/>
    <x v="0"/>
    <x v="0"/>
    <x v="3"/>
    <x v="2"/>
    <x v="167"/>
    <s v="Xíu Mại CTE Gói 500g"/>
    <s v="Gói"/>
    <n v="2"/>
    <n v="1"/>
    <d v="1899-12-30T12:00:00"/>
    <n v="44976"/>
    <s v="rách"/>
    <n v="56900.6"/>
    <x v="0"/>
    <n v="2"/>
    <n v="56900.6"/>
    <x v="2"/>
    <x v="0"/>
  </r>
  <r>
    <x v="1"/>
    <x v="3"/>
    <n v="44672"/>
    <x v="8"/>
    <x v="1"/>
    <x v="22"/>
    <x v="1"/>
    <x v="403"/>
    <s v="Bánh tráng phim (20cm*20cm)"/>
    <s v="Kg"/>
    <n v="60"/>
    <n v="60"/>
    <d v="1899-12-31T00:00:00"/>
    <n v="44677"/>
    <s v="Bể, có mùi mốc"/>
    <n v="2073832.2017094016"/>
    <x v="0"/>
    <n v="60"/>
    <n v="2073832.201709402"/>
    <x v="2"/>
    <x v="0"/>
  </r>
  <r>
    <x v="1"/>
    <x v="3"/>
    <n v="44672"/>
    <x v="8"/>
    <x v="1"/>
    <x v="22"/>
    <x v="1"/>
    <x v="99"/>
    <s v="Bột sữa dừa"/>
    <s v="Kg"/>
    <n v="20"/>
    <n v="20"/>
    <d v="1899-12-31T00:00:00"/>
    <n v="44563"/>
    <s v="Bị gắt dầu"/>
    <n v="2447801"/>
    <x v="0"/>
    <n v="20"/>
    <n v="2447801"/>
    <x v="2"/>
    <x v="0"/>
  </r>
  <r>
    <x v="1"/>
    <x v="3"/>
    <n v="44672"/>
    <x v="8"/>
    <x v="1"/>
    <x v="22"/>
    <x v="1"/>
    <x v="404"/>
    <s v="bột chiên HD-T8 (CJV 004)"/>
    <s v="Kg"/>
    <n v="40"/>
    <n v="40"/>
    <d v="1899-12-31T00:00:00"/>
    <n v="44666"/>
    <s v="Chuột cắn"/>
    <n v="1336000"/>
    <x v="0"/>
    <n v="40"/>
    <n v="1336000"/>
    <x v="2"/>
    <x v="0"/>
  </r>
  <r>
    <x v="1"/>
    <x v="3"/>
    <n v="44672"/>
    <x v="8"/>
    <x v="1"/>
    <x v="22"/>
    <x v="1"/>
    <x v="405"/>
    <s v="Protein  đậu nành  (Nk)"/>
    <s v="Kg"/>
    <n v="96"/>
    <n v="96"/>
    <d v="1899-12-31T00:00:00"/>
    <n v="44724"/>
    <s v="Không đạt chất lượng"/>
    <n v="3799192.615384615"/>
    <x v="0"/>
    <n v="96"/>
    <n v="3799192.615384615"/>
    <x v="2"/>
    <x v="0"/>
  </r>
  <r>
    <x v="1"/>
    <x v="3"/>
    <n v="44672"/>
    <x v="10"/>
    <x v="1"/>
    <x v="46"/>
    <x v="1"/>
    <x v="285"/>
    <s v="Vỏ bọc xúc xích Collagen Casing 24"/>
    <s v="M"/>
    <n v="320"/>
    <n v="16"/>
    <d v="1899-12-30T01:12:00"/>
    <m/>
    <s v="Bị mốc, không sử dụng được, Fritz chuyển về"/>
    <n v="906441.695152106"/>
    <x v="0"/>
    <n v="320"/>
    <n v="906441.695152106"/>
    <x v="2"/>
    <x v="0"/>
  </r>
  <r>
    <x v="1"/>
    <x v="3"/>
    <n v="44672"/>
    <x v="8"/>
    <x v="1"/>
    <x v="22"/>
    <x v="1"/>
    <x v="406"/>
    <s v="Thịt gà xào BTP Cháo"/>
    <s v="Kg"/>
    <n v="84"/>
    <n v="84"/>
    <d v="1899-12-31T00:00:00"/>
    <m/>
    <s v="Foseca factory closed"/>
    <n v="201600"/>
    <x v="0"/>
    <n v="84"/>
    <n v="201600"/>
    <x v="2"/>
    <x v="0"/>
  </r>
  <r>
    <x v="1"/>
    <x v="3"/>
    <n v="44672"/>
    <x v="8"/>
    <x v="1"/>
    <x v="22"/>
    <x v="1"/>
    <x v="196"/>
    <s v="Gà Nugget (TOLL)"/>
    <s v="Kg"/>
    <n v="58"/>
    <n v="58"/>
    <d v="1899-12-31T00:00:00"/>
    <m/>
    <s v="Foseca factory closed"/>
    <n v="4407038"/>
    <x v="0"/>
    <n v="58"/>
    <n v="4407038"/>
    <x v="2"/>
    <x v="0"/>
  </r>
  <r>
    <x v="1"/>
    <x v="3"/>
    <n v="44672"/>
    <x v="8"/>
    <x v="1"/>
    <x v="22"/>
    <x v="1"/>
    <x v="407"/>
    <s v="Bí đỏ"/>
    <s v="Kg"/>
    <n v="58"/>
    <n v="58"/>
    <d v="1899-12-31T00:00:00"/>
    <m/>
    <s v="Foseca factory closed"/>
    <n v="662569"/>
    <x v="0"/>
    <n v="58"/>
    <n v="662569"/>
    <x v="2"/>
    <x v="0"/>
  </r>
  <r>
    <x v="1"/>
    <x v="3"/>
    <n v="44672"/>
    <x v="8"/>
    <x v="1"/>
    <x v="22"/>
    <x v="1"/>
    <x v="408"/>
    <s v="Khoai lang (Làm nhân loại 2)"/>
    <s v="Kg"/>
    <n v="11"/>
    <n v="11"/>
    <d v="1899-12-31T00:00:00"/>
    <m/>
    <s v="Foseca factory closed"/>
    <n v="119340"/>
    <x v="0"/>
    <n v="11"/>
    <n v="119340"/>
    <x v="2"/>
    <x v="0"/>
  </r>
  <r>
    <x v="1"/>
    <x v="3"/>
    <n v="44672"/>
    <x v="8"/>
    <x v="1"/>
    <x v="22"/>
    <x v="1"/>
    <x v="409"/>
    <s v="Lá dứa"/>
    <s v="Kg"/>
    <n v="540"/>
    <n v="540"/>
    <d v="1899-12-31T00:00:00"/>
    <m/>
    <s v="Foseca factory closed"/>
    <n v="10022400"/>
    <x v="0"/>
    <n v="540"/>
    <n v="10022400"/>
    <x v="2"/>
    <x v="0"/>
  </r>
  <r>
    <x v="1"/>
    <x v="3"/>
    <n v="44672"/>
    <x v="10"/>
    <x v="1"/>
    <x v="46"/>
    <x v="1"/>
    <x v="410"/>
    <s v="Vỏ bọc xúc xích đỏ  dài 17 -19 ( 21x 23 )"/>
    <s v="M"/>
    <n v="28032"/>
    <n v="1401.6"/>
    <d v="1899-12-30T01:12:00"/>
    <n v="44575"/>
    <s v="No production plan"/>
    <n v="35965056"/>
    <x v="0"/>
    <n v="28032"/>
    <n v="35965056"/>
    <x v="2"/>
    <x v="0"/>
  </r>
  <r>
    <x v="1"/>
    <x v="3"/>
    <n v="44672"/>
    <x v="8"/>
    <x v="1"/>
    <x v="22"/>
    <x v="1"/>
    <x v="411"/>
    <s v="Chất làm dai  (surimi Plus +422)"/>
    <s v="Kg"/>
    <n v="120"/>
    <n v="120"/>
    <d v="1899-12-31T00:00:00"/>
    <n v="44580"/>
    <s v="No production plan"/>
    <n v="27560708.242477104"/>
    <x v="0"/>
    <n v="120"/>
    <n v="27560708.242477104"/>
    <x v="2"/>
    <x v="0"/>
  </r>
  <r>
    <x v="1"/>
    <x v="3"/>
    <n v="44672"/>
    <x v="8"/>
    <x v="1"/>
    <x v="22"/>
    <x v="1"/>
    <x v="412"/>
    <s v="Nước mắm"/>
    <s v="Kg"/>
    <n v="2.5"/>
    <n v="2.5"/>
    <d v="1899-12-31T00:00:00"/>
    <n v="44624"/>
    <s v="Low production usage"/>
    <n v="89673"/>
    <x v="0"/>
    <n v="2.5"/>
    <n v="89673"/>
    <x v="2"/>
    <x v="0"/>
  </r>
  <r>
    <x v="1"/>
    <x v="3"/>
    <n v="44672"/>
    <x v="8"/>
    <x v="1"/>
    <x v="22"/>
    <x v="1"/>
    <x v="413"/>
    <s v="Phụ gia thực Hương hành tươi"/>
    <s v="Kg"/>
    <n v="14.39"/>
    <n v="14.39"/>
    <d v="1899-12-31T00:00:00"/>
    <n v="44624"/>
    <s v="Low production usage"/>
    <n v="3043354"/>
    <x v="0"/>
    <n v="14.39"/>
    <n v="3043354"/>
    <x v="2"/>
    <x v="0"/>
  </r>
  <r>
    <x v="1"/>
    <x v="3"/>
    <n v="44672"/>
    <x v="8"/>
    <x v="1"/>
    <x v="22"/>
    <x v="1"/>
    <x v="414"/>
    <s v="Chiết xuất xương bò hầm cô đặc"/>
    <s v="Kg"/>
    <n v="20.6"/>
    <n v="20.6"/>
    <d v="1899-12-31T00:00:00"/>
    <n v="44632"/>
    <s v="Low production usage"/>
    <n v="5536117.0854613557"/>
    <x v="0"/>
    <n v="20.6"/>
    <n v="5536117.0854613557"/>
    <x v="2"/>
    <x v="0"/>
  </r>
  <r>
    <x v="1"/>
    <x v="3"/>
    <n v="44672"/>
    <x v="8"/>
    <x v="1"/>
    <x v="22"/>
    <x v="1"/>
    <x v="249"/>
    <s v="Xốt dầu ớt"/>
    <s v="Kg"/>
    <n v="0.76900000000000002"/>
    <n v="0.76900000000000002"/>
    <d v="1899-12-31T00:00:00"/>
    <n v="44652"/>
    <s v="Low production usage"/>
    <n v="372065.27"/>
    <x v="0"/>
    <n v="0.76900000000000002"/>
    <n v="372065.27"/>
    <x v="2"/>
    <x v="0"/>
  </r>
  <r>
    <x v="1"/>
    <x v="3"/>
    <n v="44672"/>
    <x v="8"/>
    <x v="1"/>
    <x v="22"/>
    <x v="1"/>
    <x v="162"/>
    <s v="Hạt nêm gà –  Dasida Chicken Essence Seasoning"/>
    <s v="Kg"/>
    <n v="8.52"/>
    <n v="8.52"/>
    <d v="1899-12-31T00:00:00"/>
    <n v="44634"/>
    <s v="Low production usage"/>
    <n v="363433.60790123459"/>
    <x v="0"/>
    <n v="8.52"/>
    <n v="363433.60790123459"/>
    <x v="2"/>
    <x v="0"/>
  </r>
  <r>
    <x v="1"/>
    <x v="3"/>
    <n v="44672"/>
    <x v="8"/>
    <x v="1"/>
    <x v="22"/>
    <x v="1"/>
    <x v="253"/>
    <s v="Hương tỏi tươi SA-06661"/>
    <s v="Kg"/>
    <n v="2.6"/>
    <n v="2.6"/>
    <d v="1899-12-31T00:00:00"/>
    <n v="44624"/>
    <s v="Low production usage"/>
    <n v="786240"/>
    <x v="0"/>
    <n v="2.6"/>
    <n v="786240"/>
    <x v="2"/>
    <x v="0"/>
  </r>
  <r>
    <x v="0"/>
    <x v="11"/>
    <n v="44560"/>
    <x v="10"/>
    <x v="1"/>
    <x v="55"/>
    <x v="3"/>
    <x v="415"/>
    <s v="Nhãn thân - KC cải thảo Cắt lát Bibigo 500g AW 05/20"/>
    <s v="EA"/>
    <n v="120450"/>
    <n v="301.125"/>
    <d v="1899-12-30T00:03:36"/>
    <m/>
    <m/>
    <n v="120751125"/>
    <x v="3"/>
    <n v="0"/>
    <n v="0"/>
    <x v="3"/>
    <x v="0"/>
  </r>
  <r>
    <x v="0"/>
    <x v="11"/>
    <n v="44560"/>
    <x v="10"/>
    <x v="1"/>
    <x v="46"/>
    <x v="3"/>
    <x v="416"/>
    <s v="Túi KC cải thảo Cắt lát Bibigo 100g (150x130x35mm) AW 05/20"/>
    <s v="EA"/>
    <n v="30000"/>
    <n v="150"/>
    <d v="1899-12-30T00:07:12"/>
    <m/>
    <m/>
    <n v="11850000"/>
    <x v="3"/>
    <n v="0"/>
    <n v="0"/>
    <x v="3"/>
    <x v="0"/>
  </r>
  <r>
    <x v="0"/>
    <x v="11"/>
    <n v="44560"/>
    <x v="10"/>
    <x v="1"/>
    <x v="55"/>
    <x v="3"/>
    <x v="417"/>
    <s v="Decal dán Thân Hũ Kim Chi Cải Thảo Chay Bibigo 500g ND - AW 11/2020 (37 * 7.9cm)"/>
    <s v="EA"/>
    <n v="9000"/>
    <n v="22.5"/>
    <d v="1899-12-30T00:03:36"/>
    <m/>
    <m/>
    <n v="9784708"/>
    <x v="3"/>
    <n v="0"/>
    <n v="0"/>
    <x v="3"/>
    <x v="0"/>
  </r>
  <r>
    <x v="0"/>
    <x v="11"/>
    <n v="44560"/>
    <x v="10"/>
    <x v="1"/>
    <x v="46"/>
    <x v="3"/>
    <x v="418"/>
    <s v="Túi KC cải thảo Ngò Bibigo 100g -  Dài 150 x Rộng 130 x đáy xếp 35 mm - Aw T.11/20"/>
    <s v="EA"/>
    <n v="20000"/>
    <n v="100"/>
    <d v="1899-12-30T00:07:12"/>
    <m/>
    <m/>
    <n v="8309078.0659201695"/>
    <x v="3"/>
    <n v="0"/>
    <n v="0"/>
    <x v="3"/>
    <x v="0"/>
  </r>
  <r>
    <x v="0"/>
    <x v="11"/>
    <n v="44560"/>
    <x v="10"/>
    <x v="1"/>
    <x v="55"/>
    <x v="3"/>
    <x v="419"/>
    <s v="Nhãn kim chi cải thảo cắt lát 5kg - B2B"/>
    <s v="EA"/>
    <n v="10500"/>
    <n v="26.25"/>
    <d v="1899-12-30T00:03:36"/>
    <m/>
    <m/>
    <n v="8216250"/>
    <x v="3"/>
    <n v="0"/>
    <n v="0"/>
    <x v="3"/>
    <x v="0"/>
  </r>
  <r>
    <x v="0"/>
    <x v="11"/>
    <n v="44560"/>
    <x v="10"/>
    <x v="1"/>
    <x v="53"/>
    <x v="3"/>
    <x v="420"/>
    <s v="Thùng carton - KC Cải Bắp Bibigo 100g - 50 gói"/>
    <s v="EA"/>
    <n v="399"/>
    <n v="119.7"/>
    <d v="1899-12-30T07:12:00"/>
    <m/>
    <m/>
    <n v="2074800"/>
    <x v="3"/>
    <n v="0"/>
    <n v="0"/>
    <x v="3"/>
    <x v="0"/>
  </r>
  <r>
    <x v="0"/>
    <x v="10"/>
    <n v="44517"/>
    <x v="10"/>
    <x v="1"/>
    <x v="46"/>
    <x v="8"/>
    <x v="421"/>
    <s v="Khay PPT Bánh Mandu Bibigo 350g (D) 235 x (R) 215 x (C) 36 mm, dày 500 micron 10 ngăn (2158)"/>
    <s v="Cái"/>
    <n v="29770"/>
    <m/>
    <m/>
    <m/>
    <s v="Stop using for production"/>
    <n v="12801100"/>
    <x v="3"/>
    <n v="0"/>
    <n v="0"/>
    <x v="4"/>
    <x v="1"/>
  </r>
  <r>
    <x v="1"/>
    <x v="1"/>
    <n v="44605"/>
    <x v="8"/>
    <x v="1"/>
    <x v="22"/>
    <x v="1"/>
    <x v="175"/>
    <s v="Men khô hiệu Saf Instant nhãn vàng ( đầu bếp ngọt)"/>
    <s v="Kg"/>
    <n v="49.8"/>
    <n v="49.8"/>
    <d v="1899-12-31T00:00:00"/>
    <n v="44657"/>
    <s v="Not used"/>
    <n v="1288009.0000000002"/>
    <x v="3"/>
    <n v="0"/>
    <n v="0"/>
    <x v="4"/>
    <x v="0"/>
  </r>
  <r>
    <x v="1"/>
    <x v="2"/>
    <n v="44622"/>
    <x v="8"/>
    <x v="1"/>
    <x v="22"/>
    <x v="1"/>
    <x v="193"/>
    <s v="Phô mai Mozzarella – Polmlek"/>
    <s v="Kg"/>
    <n v="2000"/>
    <n v="2000"/>
    <d v="1899-12-31T00:00:00"/>
    <n v="44739"/>
    <s v="low using for production and near expired"/>
    <n v="51914000"/>
    <x v="0"/>
    <n v="2000"/>
    <n v="51914000"/>
    <x v="4"/>
    <x v="0"/>
  </r>
  <r>
    <x v="1"/>
    <x v="1"/>
    <n v="44616"/>
    <x v="10"/>
    <x v="1"/>
    <x v="46"/>
    <x v="8"/>
    <x v="422"/>
    <s v="Khay súp hoàng thánh mì  (CTPPN 2131)"/>
    <s v="EA"/>
    <n v="11460"/>
    <n v="0"/>
    <m/>
    <m/>
    <s v="Stop using for production"/>
    <n v="17900520"/>
    <x v="3"/>
    <n v="0"/>
    <n v="0"/>
    <x v="4"/>
    <x v="1"/>
  </r>
  <r>
    <x v="1"/>
    <x v="1"/>
    <n v="44616"/>
    <x v="10"/>
    <x v="1"/>
    <x v="46"/>
    <x v="8"/>
    <x v="422"/>
    <s v="Khay mandu súp (CTPPT 2142)"/>
    <s v="EA"/>
    <n v="4000"/>
    <n v="0"/>
    <m/>
    <m/>
    <s v="Stop using for production"/>
    <n v="3640000"/>
    <x v="3"/>
    <n v="0"/>
    <n v="0"/>
    <x v="4"/>
    <x v="1"/>
  </r>
  <r>
    <x v="1"/>
    <x v="1"/>
    <n v="44616"/>
    <x v="10"/>
    <x v="1"/>
    <x v="46"/>
    <x v="8"/>
    <x v="422"/>
    <s v="Khay há cảo tiện lợi 165g (CTPPT 2146)"/>
    <s v="EA"/>
    <n v="11000"/>
    <n v="0"/>
    <m/>
    <m/>
    <s v="Stop using for production"/>
    <n v="7458000"/>
    <x v="3"/>
    <n v="0"/>
    <n v="0"/>
    <x v="4"/>
    <x v="1"/>
  </r>
  <r>
    <x v="1"/>
    <x v="1"/>
    <n v="44616"/>
    <x v="10"/>
    <x v="1"/>
    <x v="46"/>
    <x v="8"/>
    <x v="422"/>
    <s v="Khay bánh gạo có hũ xốt (CTPPÑ 2149)"/>
    <s v="EA"/>
    <n v="18000"/>
    <n v="0"/>
    <m/>
    <m/>
    <s v="Stop using for production"/>
    <n v="31140000"/>
    <x v="3"/>
    <n v="0"/>
    <n v="0"/>
    <x v="4"/>
    <x v="1"/>
  </r>
  <r>
    <x v="1"/>
    <x v="2"/>
    <n v="44649"/>
    <x v="10"/>
    <x v="1"/>
    <x v="46"/>
    <x v="1"/>
    <x v="423"/>
    <s v="KHAY LÁ KIM - 2020"/>
    <s v="Cái"/>
    <n v="1070000"/>
    <n v="0"/>
    <m/>
    <m/>
    <s v="Stop using for production"/>
    <n v="131610000"/>
    <x v="0"/>
    <n v="1070000"/>
    <n v="131610000"/>
    <x v="4"/>
    <x v="0"/>
  </r>
  <r>
    <x v="1"/>
    <x v="3"/>
    <n v="44666"/>
    <x v="8"/>
    <x v="1"/>
    <x v="22"/>
    <x v="1"/>
    <x v="424"/>
    <s v="Chất ngâm hải sản MC"/>
    <s v="Kg"/>
    <n v="5"/>
    <n v="5"/>
    <d v="1899-12-31T00:00:00"/>
    <n v="44881"/>
    <s v="Low production usage for export items"/>
    <n v="0"/>
    <x v="0"/>
    <n v="5"/>
    <n v="0"/>
    <x v="4"/>
    <x v="0"/>
  </r>
  <r>
    <x v="1"/>
    <x v="3"/>
    <n v="44666"/>
    <x v="8"/>
    <x v="1"/>
    <x v="22"/>
    <x v="1"/>
    <x v="424"/>
    <s v="Chất ngâm hải sản MC"/>
    <s v="Kg"/>
    <n v="60"/>
    <n v="60"/>
    <d v="1899-12-31T00:00:00"/>
    <n v="44894"/>
    <s v="Low production usage for export items"/>
    <n v="0"/>
    <x v="0"/>
    <n v="60"/>
    <n v="0"/>
    <x v="4"/>
    <x v="0"/>
  </r>
  <r>
    <x v="1"/>
    <x v="3"/>
    <n v="44666"/>
    <x v="8"/>
    <x v="1"/>
    <x v="22"/>
    <x v="1"/>
    <x v="424"/>
    <s v="Chất ngâm hải sản MC"/>
    <s v="Kg"/>
    <n v="100"/>
    <n v="100"/>
    <d v="1899-12-31T00:00:00"/>
    <n v="44910"/>
    <s v="Low production usage for export items"/>
    <n v="0"/>
    <x v="0"/>
    <n v="100"/>
    <n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mergeItem="1" createdVersion="6" indent="0" compact="0" compactData="0" multipleFieldFilters="0">
  <location ref="AE8:AS33" firstHeaderRow="1" firstDataRow="3" firstDataCol="3" rowPageCount="3" colPageCount="1"/>
  <pivotFields count="22">
    <pivotField axis="axisPage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8"/>
        <item x="10"/>
        <item n="01. Powdered Beverages" x="0"/>
        <item n="02. Nutrition Product" x="3"/>
        <item x="6"/>
        <item n="04. Milk products" x="5"/>
        <item x="4"/>
        <item n="07. Liquid beverages" x="1"/>
        <item x="2"/>
        <item x="7"/>
        <item m="1" x="11"/>
        <item x="9"/>
      </items>
    </pivotField>
    <pivotField axis="axisRow" compact="0" outline="0" showAll="0" defaultSubtotal="0">
      <items count="4">
        <item m="1" x="3"/>
        <item x="0"/>
        <item x="1"/>
        <item m="1" x="2"/>
      </items>
    </pivotField>
    <pivotField compact="0" outline="0" showAll="0" defaultSubtotal="0"/>
    <pivotField axis="axisRow" compact="0" outline="0" showAll="0" defaultSubtotal="0">
      <items count="10">
        <item n="KN" x="3"/>
        <item n="TP" x="1"/>
        <item x="4"/>
        <item x="7"/>
        <item x="5"/>
        <item n="HY" x="0"/>
        <item m="1" x="9"/>
        <item x="8"/>
        <item n="TT" x="2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Page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dataField="1" compact="0" outline="0" showAll="0" defaultSubtotal="0"/>
    <pivotField axis="axisCol" compact="0" outline="0" showAll="0" defaultSubtotal="0">
      <items count="5">
        <item x="0"/>
        <item x="1"/>
        <item x="2"/>
        <item x="4"/>
        <item x="3"/>
      </items>
    </pivotField>
    <pivotField axis="axisPage" compact="0" outline="0" showAll="0" defaultSubtotal="0">
      <items count="2">
        <item x="0"/>
        <item x="1"/>
      </items>
    </pivotField>
    <pivotField dataField="1" compact="0" outline="0" dragToRow="0" dragToCol="0" dragToPage="0" showAll="0" defaultSubtotal="0"/>
  </pivotFields>
  <rowFields count="3">
    <field x="4"/>
    <field x="6"/>
    <field x="3"/>
  </rowFields>
  <rowItems count="23">
    <i>
      <x v="1"/>
      <x v="1"/>
      <x v="2"/>
    </i>
    <i r="2">
      <x v="3"/>
    </i>
    <i r="2">
      <x v="6"/>
    </i>
    <i r="2">
      <x v="9"/>
    </i>
    <i r="2">
      <x v="11"/>
    </i>
    <i r="1">
      <x v="5"/>
      <x v="2"/>
    </i>
    <i r="2">
      <x v="3"/>
    </i>
    <i r="2">
      <x v="5"/>
    </i>
    <i r="2">
      <x v="6"/>
    </i>
    <i r="2">
      <x v="8"/>
    </i>
    <i r="2">
      <x v="9"/>
    </i>
    <i r="1">
      <x v="8"/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"/>
      <x/>
      <x/>
    </i>
    <i r="1">
      <x v="1"/>
      <x/>
    </i>
    <i r="2">
      <x v="1"/>
    </i>
    <i t="grand">
      <x/>
    </i>
  </rowItems>
  <colFields count="2">
    <field x="19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3">
    <pageField fld="0" item="1" hier="-1"/>
    <pageField fld="16" item="1" hier="-1"/>
    <pageField fld="20" item="0" hier="-1"/>
  </pageFields>
  <dataFields count="3">
    <dataField name="Estimated Loss " fld="15" baseField="3" baseItem="3" numFmtId="164"/>
    <dataField name="Actual Loss " fld="18" baseField="3" baseItem="3" numFmtId="164"/>
    <dataField name="LossChange " fld="21" baseField="3" baseItem="2" numFmtId="164"/>
  </dataFields>
  <formats count="144">
    <format dxfId="143">
      <pivotArea type="origin" dataOnly="0" labelOnly="1" outline="0" fieldPosition="0"/>
    </format>
    <format dxfId="142">
      <pivotArea field="4" type="button" dataOnly="0" labelOnly="1" outline="0" axis="axisRow" fieldPosition="0"/>
    </format>
    <format dxfId="141">
      <pivotArea field="6" type="button" dataOnly="0" labelOnly="1" outline="0" axis="axisRow" fieldPosition="1"/>
    </format>
    <format dxfId="140">
      <pivotArea field="3" type="button" dataOnly="0" labelOnly="1" outline="0" axis="axisRow" fieldPosition="2"/>
    </format>
    <format dxfId="139">
      <pivotArea dataOnly="0" labelOnly="1" outline="0" fieldPosition="0">
        <references count="1">
          <reference field="4" count="0"/>
        </references>
      </pivotArea>
    </format>
    <format dxfId="138">
      <pivotArea dataOnly="0" labelOnly="1" outline="0" fieldPosition="0">
        <references count="2">
          <reference field="4" count="1" selected="0">
            <x v="1"/>
          </reference>
          <reference field="6" count="3">
            <x v="1"/>
            <x v="5"/>
            <x v="8"/>
          </reference>
        </references>
      </pivotArea>
    </format>
    <format dxfId="137">
      <pivotArea dataOnly="0" labelOnly="1" outline="0" fieldPosition="0">
        <references count="2">
          <reference field="4" count="1" selected="0">
            <x v="2"/>
          </reference>
          <reference field="6" count="2">
            <x v="0"/>
            <x v="1"/>
          </reference>
        </references>
      </pivotArea>
    </format>
    <format dxfId="136">
      <pivotArea dataOnly="0" labelOnly="1" outline="0" fieldPosition="0">
        <references count="3">
          <reference field="3" count="5">
            <x v="2"/>
            <x v="3"/>
            <x v="6"/>
            <x v="9"/>
            <x v="11"/>
          </reference>
          <reference field="4" count="1" selected="0">
            <x v="1"/>
          </reference>
          <reference field="6" count="1" selected="0">
            <x v="1"/>
          </reference>
        </references>
      </pivotArea>
    </format>
    <format dxfId="135">
      <pivotArea dataOnly="0" labelOnly="1" outline="0" fieldPosition="0">
        <references count="3">
          <reference field="3" count="6">
            <x v="2"/>
            <x v="3"/>
            <x v="5"/>
            <x v="6"/>
            <x v="8"/>
            <x v="9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134">
      <pivotArea dataOnly="0" labelOnly="1" outline="0" fieldPosition="0">
        <references count="3">
          <reference field="3" count="8">
            <x v="2"/>
            <x v="3"/>
            <x v="4"/>
            <x v="5"/>
            <x v="6"/>
            <x v="7"/>
            <x v="8"/>
            <x v="9"/>
          </reference>
          <reference field="4" count="1" selected="0">
            <x v="1"/>
          </reference>
          <reference field="6" count="1" selected="0">
            <x v="8"/>
          </reference>
        </references>
      </pivotArea>
    </format>
    <format dxfId="133">
      <pivotArea dataOnly="0" labelOnly="1" outline="0" fieldPosition="0">
        <references count="3">
          <reference field="3" count="1">
            <x v="0"/>
          </reference>
          <reference field="4" count="1" selected="0">
            <x v="2"/>
          </reference>
          <reference field="6" count="1" selected="0">
            <x v="0"/>
          </reference>
        </references>
      </pivotArea>
    </format>
    <format dxfId="132">
      <pivotArea dataOnly="0" labelOnly="1" outline="0" fieldPosition="0">
        <references count="3">
          <reference field="3" count="2">
            <x v="0"/>
            <x v="1"/>
          </reference>
          <reference field="4" count="1" selected="0">
            <x v="2"/>
          </reference>
          <reference field="6" count="1" selected="0">
            <x v="1"/>
          </reference>
        </references>
      </pivotArea>
    </format>
    <format dxfId="131">
      <pivotArea outline="0" fieldPosition="0">
        <references count="1">
          <reference field="4294967294" count="1">
            <x v="0"/>
          </reference>
        </references>
      </pivotArea>
    </format>
    <format dxfId="130">
      <pivotArea outline="0" fieldPosition="0">
        <references count="1">
          <reference field="4294967294" count="1">
            <x v="1"/>
          </reference>
        </references>
      </pivotArea>
    </format>
    <format dxfId="129">
      <pivotArea outline="0" fieldPosition="0">
        <references count="1">
          <reference field="4294967294" count="1">
            <x v="2"/>
          </reference>
        </references>
      </pivotArea>
    </format>
    <format dxfId="128">
      <pivotArea dataOnly="0" labelOnly="1" outline="0" fieldPosition="0">
        <references count="1">
          <reference field="19" count="1">
            <x v="0"/>
          </reference>
        </references>
      </pivotArea>
    </format>
    <format dxfId="127">
      <pivotArea dataOnly="0" labelOnly="1" outline="0" fieldPosition="0">
        <references count="1">
          <reference field="19" count="1">
            <x v="0"/>
          </reference>
        </references>
      </pivotArea>
    </format>
    <format dxfId="126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9" count="1" selected="0">
            <x v="0"/>
          </reference>
        </references>
      </pivotArea>
    </format>
    <format dxfId="125">
      <pivotArea outline="0" collapsedLevelsAreSubtotals="1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format>
    <format dxfId="124">
      <pivotArea type="origin" dataOnly="0" labelOnly="1" outline="0" fieldPosition="0"/>
    </format>
    <format dxfId="123">
      <pivotArea field="19" type="button" dataOnly="0" labelOnly="1" outline="0" axis="axisCol" fieldPosition="0"/>
    </format>
    <format dxfId="122">
      <pivotArea field="-2" type="button" dataOnly="0" labelOnly="1" outline="0" axis="axisCol" fieldPosition="1"/>
    </format>
    <format dxfId="121">
      <pivotArea type="topRight" dataOnly="0" labelOnly="1" outline="0" fieldPosition="0"/>
    </format>
    <format dxfId="120">
      <pivotArea field="4" type="button" dataOnly="0" labelOnly="1" outline="0" axis="axisRow" fieldPosition="0"/>
    </format>
    <format dxfId="119">
      <pivotArea field="6" type="button" dataOnly="0" labelOnly="1" outline="0" axis="axisRow" fieldPosition="1"/>
    </format>
    <format dxfId="118">
      <pivotArea field="3" type="button" dataOnly="0" labelOnly="1" outline="0" axis="axisRow" fieldPosition="2"/>
    </format>
    <format dxfId="117">
      <pivotArea dataOnly="0" labelOnly="1" outline="0" fieldPosition="0">
        <references count="1">
          <reference field="4" count="0"/>
        </references>
      </pivotArea>
    </format>
    <format dxfId="116">
      <pivotArea dataOnly="0" labelOnly="1" outline="0" fieldPosition="0">
        <references count="2">
          <reference field="4" count="1" selected="0">
            <x v="1"/>
          </reference>
          <reference field="6" count="3">
            <x v="1"/>
            <x v="5"/>
            <x v="8"/>
          </reference>
        </references>
      </pivotArea>
    </format>
    <format dxfId="115">
      <pivotArea dataOnly="0" labelOnly="1" outline="0" fieldPosition="0">
        <references count="2">
          <reference field="4" count="1" selected="0">
            <x v="2"/>
          </reference>
          <reference field="6" count="2">
            <x v="0"/>
            <x v="1"/>
          </reference>
        </references>
      </pivotArea>
    </format>
    <format dxfId="114">
      <pivotArea dataOnly="0" labelOnly="1" outline="0" fieldPosition="0">
        <references count="3">
          <reference field="3" count="5">
            <x v="2"/>
            <x v="3"/>
            <x v="6"/>
            <x v="9"/>
            <x v="11"/>
          </reference>
          <reference field="4" count="1" selected="0">
            <x v="1"/>
          </reference>
          <reference field="6" count="1" selected="0">
            <x v="1"/>
          </reference>
        </references>
      </pivotArea>
    </format>
    <format dxfId="113">
      <pivotArea dataOnly="0" labelOnly="1" outline="0" fieldPosition="0">
        <references count="3">
          <reference field="3" count="6">
            <x v="2"/>
            <x v="3"/>
            <x v="5"/>
            <x v="6"/>
            <x v="8"/>
            <x v="9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112">
      <pivotArea dataOnly="0" labelOnly="1" outline="0" fieldPosition="0">
        <references count="3">
          <reference field="3" count="8">
            <x v="2"/>
            <x v="3"/>
            <x v="4"/>
            <x v="5"/>
            <x v="6"/>
            <x v="7"/>
            <x v="8"/>
            <x v="9"/>
          </reference>
          <reference field="4" count="1" selected="0">
            <x v="1"/>
          </reference>
          <reference field="6" count="1" selected="0">
            <x v="8"/>
          </reference>
        </references>
      </pivotArea>
    </format>
    <format dxfId="111">
      <pivotArea dataOnly="0" labelOnly="1" outline="0" fieldPosition="0">
        <references count="3">
          <reference field="3" count="1">
            <x v="0"/>
          </reference>
          <reference field="4" count="1" selected="0">
            <x v="2"/>
          </reference>
          <reference field="6" count="1" selected="0">
            <x v="0"/>
          </reference>
        </references>
      </pivotArea>
    </format>
    <format dxfId="110">
      <pivotArea dataOnly="0" labelOnly="1" outline="0" fieldPosition="0">
        <references count="3">
          <reference field="3" count="2">
            <x v="0"/>
            <x v="1"/>
          </reference>
          <reference field="4" count="1" selected="0">
            <x v="2"/>
          </reference>
          <reference field="6" count="1" selected="0">
            <x v="1"/>
          </reference>
        </references>
      </pivotArea>
    </format>
    <format dxfId="109">
      <pivotArea dataOnly="0" labelOnly="1" outline="0" fieldPosition="0">
        <references count="1">
          <reference field="19" count="1">
            <x v="0"/>
          </reference>
        </references>
      </pivotArea>
    </format>
    <format dxfId="108">
      <pivotArea dataOnly="0" labelOnly="1" outline="0" fieldPosition="0">
        <references count="1">
          <reference field="19" count="1">
            <x v="1"/>
          </reference>
        </references>
      </pivotArea>
    </format>
    <format dxfId="10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0"/>
          </reference>
        </references>
      </pivotArea>
    </format>
    <format dxfId="106">
      <pivotArea dataOnly="0" labelOnly="1" outline="0" fieldPosition="0">
        <references count="2">
          <reference field="4294967294" count="1">
            <x v="0"/>
          </reference>
          <reference field="19" count="1" selected="0">
            <x v="1"/>
          </reference>
        </references>
      </pivotArea>
    </format>
    <format dxfId="105">
      <pivotArea outline="0" collapsedLevelsAreSubtotals="1" fieldPosition="0">
        <references count="1">
          <reference field="19" count="3" selected="0">
            <x v="1"/>
            <x v="2"/>
            <x v="3"/>
          </reference>
        </references>
      </pivotArea>
    </format>
    <format dxfId="104">
      <pivotArea dataOnly="0" labelOnly="1" outline="0" fieldPosition="0">
        <references count="1">
          <reference field="19" count="3">
            <x v="1"/>
            <x v="2"/>
            <x v="3"/>
          </reference>
        </references>
      </pivotArea>
    </format>
    <format dxfId="10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1"/>
          </reference>
        </references>
      </pivotArea>
    </format>
    <format dxfId="10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2"/>
          </reference>
        </references>
      </pivotArea>
    </format>
    <format dxfId="10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3"/>
          </reference>
        </references>
      </pivotArea>
    </format>
    <format dxfId="100">
      <pivotArea type="origin" dataOnly="0" labelOnly="1" outline="0" fieldPosition="0"/>
    </format>
    <format dxfId="99">
      <pivotArea field="4" type="button" dataOnly="0" labelOnly="1" outline="0" axis="axisRow" fieldPosition="0"/>
    </format>
    <format dxfId="98">
      <pivotArea field="6" type="button" dataOnly="0" labelOnly="1" outline="0" axis="axisRow" fieldPosition="1"/>
    </format>
    <format dxfId="97">
      <pivotArea field="3" type="button" dataOnly="0" labelOnly="1" outline="0" axis="axisRow" fieldPosition="2"/>
    </format>
    <format dxfId="96">
      <pivotArea dataOnly="0" labelOnly="1" outline="0" fieldPosition="0">
        <references count="1">
          <reference field="4" count="0"/>
        </references>
      </pivotArea>
    </format>
    <format dxfId="95">
      <pivotArea dataOnly="0" labelOnly="1" outline="0" fieldPosition="0">
        <references count="2">
          <reference field="4" count="1" selected="0">
            <x v="1"/>
          </reference>
          <reference field="6" count="3">
            <x v="1"/>
            <x v="5"/>
            <x v="8"/>
          </reference>
        </references>
      </pivotArea>
    </format>
    <format dxfId="94">
      <pivotArea dataOnly="0" labelOnly="1" outline="0" fieldPosition="0">
        <references count="2">
          <reference field="4" count="1" selected="0">
            <x v="2"/>
          </reference>
          <reference field="6" count="2">
            <x v="0"/>
            <x v="1"/>
          </reference>
        </references>
      </pivotArea>
    </format>
    <format dxfId="93">
      <pivotArea dataOnly="0" labelOnly="1" outline="0" fieldPosition="0">
        <references count="3">
          <reference field="3" count="5">
            <x v="2"/>
            <x v="3"/>
            <x v="6"/>
            <x v="9"/>
            <x v="11"/>
          </reference>
          <reference field="4" count="1" selected="0">
            <x v="1"/>
          </reference>
          <reference field="6" count="1" selected="0">
            <x v="1"/>
          </reference>
        </references>
      </pivotArea>
    </format>
    <format dxfId="92">
      <pivotArea dataOnly="0" labelOnly="1" outline="0" fieldPosition="0">
        <references count="3">
          <reference field="3" count="6">
            <x v="2"/>
            <x v="3"/>
            <x v="5"/>
            <x v="6"/>
            <x v="8"/>
            <x v="9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91">
      <pivotArea dataOnly="0" labelOnly="1" outline="0" fieldPosition="0">
        <references count="3">
          <reference field="3" count="8">
            <x v="2"/>
            <x v="3"/>
            <x v="4"/>
            <x v="5"/>
            <x v="6"/>
            <x v="7"/>
            <x v="8"/>
            <x v="9"/>
          </reference>
          <reference field="4" count="1" selected="0">
            <x v="1"/>
          </reference>
          <reference field="6" count="1" selected="0">
            <x v="8"/>
          </reference>
        </references>
      </pivotArea>
    </format>
    <format dxfId="90">
      <pivotArea dataOnly="0" labelOnly="1" outline="0" fieldPosition="0">
        <references count="3">
          <reference field="3" count="1">
            <x v="0"/>
          </reference>
          <reference field="4" count="1" selected="0">
            <x v="2"/>
          </reference>
          <reference field="6" count="1" selected="0">
            <x v="0"/>
          </reference>
        </references>
      </pivotArea>
    </format>
    <format dxfId="89">
      <pivotArea dataOnly="0" labelOnly="1" outline="0" fieldPosition="0">
        <references count="3">
          <reference field="3" count="2">
            <x v="0"/>
            <x v="1"/>
          </reference>
          <reference field="4" count="1" selected="0">
            <x v="2"/>
          </reference>
          <reference field="6" count="1" selected="0">
            <x v="1"/>
          </reference>
        </references>
      </pivotArea>
    </format>
    <format dxfId="88">
      <pivotArea dataOnly="0" labelOnly="1" outline="0" fieldPosition="0">
        <references count="3">
          <reference field="0" count="1">
            <x v="1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87">
      <pivotArea dataOnly="0" labelOnly="1" outline="0" fieldPosition="0">
        <references count="1">
          <reference field="19" count="1">
            <x v="0"/>
          </reference>
        </references>
      </pivotArea>
    </format>
    <format dxfId="86">
      <pivotArea dataOnly="0" labelOnly="1" outline="0" fieldPosition="0">
        <references count="1">
          <reference field="19" count="1">
            <x v="1"/>
          </reference>
        </references>
      </pivotArea>
    </format>
    <format dxfId="85">
      <pivotArea dataOnly="0" labelOnly="1" outline="0" fieldPosition="0">
        <references count="1">
          <reference field="19" count="1">
            <x v="1"/>
          </reference>
        </references>
      </pivotArea>
    </format>
    <format dxfId="84">
      <pivotArea dataOnly="0" labelOnly="1" outline="0" fieldPosition="0">
        <references count="1">
          <reference field="19" count="1">
            <x v="0"/>
          </reference>
        </references>
      </pivotArea>
    </format>
    <format dxfId="83">
      <pivotArea dataOnly="0" labelOnly="1" outline="0" fieldPosition="0">
        <references count="1">
          <reference field="19" count="1">
            <x v="0"/>
          </reference>
        </references>
      </pivotArea>
    </format>
    <format dxfId="82">
      <pivotArea dataOnly="0" labelOnly="1" outline="0" fieldPosition="0">
        <references count="1">
          <reference field="19" count="1">
            <x v="0"/>
          </reference>
        </references>
      </pivotArea>
    </format>
    <format dxfId="81">
      <pivotArea dataOnly="0" labelOnly="1" outline="0" fieldPosition="0">
        <references count="1">
          <reference field="19" count="1">
            <x v="0"/>
          </reference>
        </references>
      </pivotArea>
    </format>
    <format dxfId="80">
      <pivotArea dataOnly="0" labelOnly="1" outline="0" fieldPosition="0">
        <references count="1">
          <reference field="19" count="1">
            <x v="1"/>
          </reference>
        </references>
      </pivotArea>
    </format>
    <format dxfId="79">
      <pivotArea dataOnly="0" labelOnly="1" outline="0" fieldPosition="0">
        <references count="1">
          <reference field="19" count="1">
            <x v="2"/>
          </reference>
        </references>
      </pivotArea>
    </format>
    <format dxfId="78">
      <pivotArea dataOnly="0" labelOnly="1" outline="0" fieldPosition="0">
        <references count="1">
          <reference field="19" count="1">
            <x v="2"/>
          </reference>
        </references>
      </pivotArea>
    </format>
    <format dxfId="77">
      <pivotArea dataOnly="0" labelOnly="1" outline="0" fieldPosition="0">
        <references count="1">
          <reference field="19" count="1">
            <x v="1"/>
          </reference>
        </references>
      </pivotArea>
    </format>
    <format dxfId="76">
      <pivotArea dataOnly="0" labelOnly="1" outline="0" fieldPosition="0">
        <references count="1">
          <reference field="19" count="1">
            <x v="2"/>
          </reference>
        </references>
      </pivotArea>
    </format>
    <format dxfId="75">
      <pivotArea dataOnly="0" labelOnly="1" outline="0" fieldPosition="0">
        <references count="1">
          <reference field="19" count="1">
            <x v="3"/>
          </reference>
        </references>
      </pivotArea>
    </format>
    <format dxfId="74">
      <pivotArea dataOnly="0" labelOnly="1" outline="0" fieldPosition="0">
        <references count="1">
          <reference field="19" count="1">
            <x v="3"/>
          </reference>
        </references>
      </pivotArea>
    </format>
    <format dxfId="73">
      <pivotArea dataOnly="0" labelOnly="1" outline="0" fieldPosition="0">
        <references count="1">
          <reference field="19" count="1">
            <x v="0"/>
          </reference>
        </references>
      </pivotArea>
    </format>
    <format dxfId="72">
      <pivotArea dataOnly="0" labelOnly="1" outline="0" fieldPosition="0">
        <references count="1">
          <reference field="19" count="1">
            <x v="1"/>
          </reference>
        </references>
      </pivotArea>
    </format>
    <format dxfId="71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0"/>
          </reference>
        </references>
      </pivotArea>
    </format>
    <format dxfId="70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0"/>
          </reference>
        </references>
      </pivotArea>
    </format>
    <format dxfId="69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1"/>
          </reference>
        </references>
      </pivotArea>
    </format>
    <format dxfId="68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1"/>
          </reference>
        </references>
      </pivotArea>
    </format>
    <format dxfId="67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2"/>
          </reference>
        </references>
      </pivotArea>
    </format>
    <format dxfId="66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2"/>
          </reference>
        </references>
      </pivotArea>
    </format>
    <format dxfId="65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3"/>
          </reference>
        </references>
      </pivotArea>
    </format>
    <format dxfId="64">
      <pivotArea dataOnly="0" labelOnly="1" outline="0" fieldPosition="0">
        <references count="2">
          <reference field="4294967294" count="1">
            <x v="2"/>
          </reference>
          <reference field="19" count="1" selected="0">
            <x v="3"/>
          </reference>
        </references>
      </pivotArea>
    </format>
    <format dxfId="63">
      <pivotArea field="4" type="button" dataOnly="0" labelOnly="1" outline="0" axis="axisRow" fieldPosition="0"/>
    </format>
    <format dxfId="62">
      <pivotArea field="6" type="button" dataOnly="0" labelOnly="1" outline="0" axis="axisRow" fieldPosition="1"/>
    </format>
    <format dxfId="61">
      <pivotArea field="3" type="button" dataOnly="0" labelOnly="1" outline="0" axis="axisRow" fieldPosition="2"/>
    </format>
    <format dxfId="60">
      <pivotArea field="4" type="button" dataOnly="0" labelOnly="1" outline="0" axis="axisRow" fieldPosition="0"/>
    </format>
    <format dxfId="59">
      <pivotArea field="6" type="button" dataOnly="0" labelOnly="1" outline="0" axis="axisRow" fieldPosition="1"/>
    </format>
    <format dxfId="58">
      <pivotArea field="3" type="button" dataOnly="0" labelOnly="1" outline="0" axis="axisRow" fieldPosition="2"/>
    </format>
    <format dxfId="57">
      <pivotArea field="4" type="button" dataOnly="0" labelOnly="1" outline="0" axis="axisRow" fieldPosition="0"/>
    </format>
    <format dxfId="56">
      <pivotArea field="6" type="button" dataOnly="0" labelOnly="1" outline="0" axis="axisRow" fieldPosition="1"/>
    </format>
    <format dxfId="55">
      <pivotArea field="3" type="button" dataOnly="0" labelOnly="1" outline="0" axis="axisRow" fieldPosition="2"/>
    </format>
    <format dxfId="54">
      <pivotArea dataOnly="0" labelOnly="1" outline="0" fieldPosition="0">
        <references count="1">
          <reference field="19" count="4">
            <x v="0"/>
            <x v="1"/>
            <x v="2"/>
            <x v="3"/>
          </reference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0"/>
          </reference>
        </references>
      </pivotArea>
    </format>
    <format dxfId="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1"/>
          </reference>
        </references>
      </pivotArea>
    </format>
    <format dxfId="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2"/>
          </reference>
        </references>
      </pivotArea>
    </format>
    <format dxfId="5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9" count="1" selected="0">
            <x v="3"/>
          </reference>
        </references>
      </pivotArea>
    </format>
    <format dxfId="49">
      <pivotArea dataOnly="0" outline="0" fieldPosition="0">
        <references count="6">
          <reference field="0" count="1" selected="0">
            <x v="1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/>
          <reference field="6" count="0" defaultSubtotal="1" sumSubtotal="1" countASubtotal="1" avgSubtotal="1" maxSubtotal="1" minSubtotal="1" productSubtotal="1" countSubtotal="1" stdDevSubtotal="1" stdDevPSubtotal="1" varSubtotal="1" varPSubtotal="1"/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48">
      <pivotArea dataOnly="0" outline="0" fieldPosition="0">
        <references count="6">
          <reference field="0" count="1" selected="0">
            <x v="1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/>
          <reference field="6" count="0" defaultSubtotal="1" sumSubtotal="1" countASubtotal="1" avgSubtotal="1" maxSubtotal="1" minSubtotal="1" productSubtotal="1" countSubtotal="1" stdDevSubtotal="1" stdDevPSubtotal="1" varSubtotal="1" varPSubtotal="1"/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9" count="1" selected="0">
            <x v="3"/>
          </reference>
        </references>
      </pivotArea>
    </format>
    <format dxfId="43">
      <pivotArea type="origin" dataOnly="0" labelOnly="1" outline="0" offset="A2:C2" fieldPosition="0"/>
    </format>
    <format dxfId="42">
      <pivotArea dataOnly="0" outline="0" fieldPosition="0">
        <references count="4">
          <reference field="0" count="1" selected="0">
            <x v="1"/>
          </reference>
          <reference field="16" count="1" selected="0">
            <x v="1"/>
          </reference>
          <reference field="19" count="1">
            <x v="1"/>
          </reference>
          <reference field="20" count="1" selected="0">
            <x v="0"/>
          </reference>
        </references>
      </pivotArea>
    </format>
    <format dxfId="41">
      <pivotArea dataOnly="0" outline="0" fieldPosition="0">
        <references count="4">
          <reference field="0" count="1" selected="0">
            <x v="1"/>
          </reference>
          <reference field="16" count="1" selected="0">
            <x v="1"/>
          </reference>
          <reference field="19" count="1">
            <x v="2"/>
          </reference>
          <reference field="20" count="1" selected="0">
            <x v="0"/>
          </reference>
        </references>
      </pivotArea>
    </format>
    <format dxfId="40">
      <pivotArea dataOnly="0" outline="0" fieldPosition="0">
        <references count="4">
          <reference field="0" count="1" selected="0">
            <x v="1"/>
          </reference>
          <reference field="16" count="1" selected="0">
            <x v="1"/>
          </reference>
          <reference field="19" count="1">
            <x v="2"/>
          </reference>
          <reference field="20" count="1" selected="0">
            <x v="0"/>
          </reference>
        </references>
      </pivotArea>
    </format>
    <format dxfId="39">
      <pivotArea dataOnly="0" outline="0" fieldPosition="0">
        <references count="4">
          <reference field="0" count="1" selected="0">
            <x v="1"/>
          </reference>
          <reference field="16" count="1" selected="0">
            <x v="1"/>
          </reference>
          <reference field="19" count="1">
            <x v="3"/>
          </reference>
          <reference field="20" count="1" selected="0">
            <x v="0"/>
          </reference>
        </references>
      </pivotArea>
    </format>
    <format dxfId="38">
      <pivotArea outline="0" fieldPosition="0">
        <references count="1">
          <reference field="4294967294" count="1">
            <x v="2"/>
          </reference>
        </references>
      </pivotArea>
    </format>
    <format dxfId="37">
      <pivotArea type="origin" dataOnly="0" labelOnly="1" outline="0" fieldPosition="0"/>
    </format>
    <format dxfId="36">
      <pivotArea field="4" type="button" dataOnly="0" labelOnly="1" outline="0" axis="axisRow" fieldPosition="0"/>
    </format>
    <format dxfId="35">
      <pivotArea field="6" type="button" dataOnly="0" labelOnly="1" outline="0" axis="axisRow" fieldPosition="1"/>
    </format>
    <format dxfId="34">
      <pivotArea field="3" type="button" dataOnly="0" labelOnly="1" outline="0" axis="axisRow" fieldPosition="2"/>
    </format>
    <format dxfId="33">
      <pivotArea dataOnly="0" labelOnly="1" outline="0" fieldPosition="0">
        <references count="1">
          <reference field="4" count="0"/>
        </references>
      </pivotArea>
    </format>
    <format dxfId="32">
      <pivotArea dataOnly="0" labelOnly="1" outline="0" fieldPosition="0">
        <references count="2">
          <reference field="4" count="1" selected="0">
            <x v="1"/>
          </reference>
          <reference field="6" count="3">
            <x v="1"/>
            <x v="5"/>
            <x v="8"/>
          </reference>
        </references>
      </pivotArea>
    </format>
    <format dxfId="31">
      <pivotArea dataOnly="0" labelOnly="1" outline="0" fieldPosition="0">
        <references count="2">
          <reference field="4" count="1" selected="0">
            <x v="2"/>
          </reference>
          <reference field="6" count="2">
            <x v="0"/>
            <x v="1"/>
          </reference>
        </references>
      </pivotArea>
    </format>
    <format dxfId="30">
      <pivotArea dataOnly="0" labelOnly="1" outline="0" fieldPosition="0">
        <references count="3">
          <reference field="3" count="5">
            <x v="2"/>
            <x v="3"/>
            <x v="6"/>
            <x v="9"/>
            <x v="11"/>
          </reference>
          <reference field="4" count="1" selected="0">
            <x v="1"/>
          </reference>
          <reference field="6" count="1" selected="0">
            <x v="1"/>
          </reference>
        </references>
      </pivotArea>
    </format>
    <format dxfId="29">
      <pivotArea dataOnly="0" labelOnly="1" outline="0" fieldPosition="0">
        <references count="3">
          <reference field="3" count="6">
            <x v="2"/>
            <x v="3"/>
            <x v="5"/>
            <x v="6"/>
            <x v="8"/>
            <x v="9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28">
      <pivotArea dataOnly="0" labelOnly="1" outline="0" fieldPosition="0">
        <references count="3">
          <reference field="3" count="8">
            <x v="2"/>
            <x v="3"/>
            <x v="4"/>
            <x v="5"/>
            <x v="6"/>
            <x v="7"/>
            <x v="8"/>
            <x v="9"/>
          </reference>
          <reference field="4" count="1" selected="0">
            <x v="1"/>
          </reference>
          <reference field="6" count="1" selected="0">
            <x v="8"/>
          </reference>
        </references>
      </pivotArea>
    </format>
    <format dxfId="27">
      <pivotArea dataOnly="0" labelOnly="1" outline="0" fieldPosition="0">
        <references count="3">
          <reference field="3" count="1">
            <x v="0"/>
          </reference>
          <reference field="4" count="1" selected="0">
            <x v="2"/>
          </reference>
          <reference field="6" count="1" selected="0">
            <x v="0"/>
          </reference>
        </references>
      </pivotArea>
    </format>
    <format dxfId="26">
      <pivotArea dataOnly="0" labelOnly="1" outline="0" fieldPosition="0">
        <references count="3">
          <reference field="3" count="2">
            <x v="0"/>
            <x v="1"/>
          </reference>
          <reference field="4" count="1" selected="0">
            <x v="2"/>
          </reference>
          <reference field="6" count="1" selected="0">
            <x v="1"/>
          </reference>
        </references>
      </pivotArea>
    </format>
    <format dxfId="25">
      <pivotArea dataOnly="0" outline="0" fieldPosition="0">
        <references count="4">
          <reference field="0" count="1" selected="0">
            <x v="1"/>
          </reference>
          <reference field="16" count="1" selected="0">
            <x v="1"/>
          </reference>
          <reference field="19" count="1">
            <x v="1"/>
          </reference>
          <reference field="20" count="1" selected="0">
            <x v="0"/>
          </reference>
        </references>
      </pivotArea>
    </format>
    <format dxfId="24">
      <pivotArea dataOnly="0" outline="0" fieldPosition="0">
        <references count="4">
          <reference field="0" count="1" selected="0">
            <x v="1"/>
          </reference>
          <reference field="16" count="1" selected="0">
            <x v="1"/>
          </reference>
          <reference field="19" count="1">
            <x v="0"/>
          </reference>
          <reference field="20" count="1" selected="0">
            <x v="0"/>
          </reference>
        </references>
      </pivotArea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dataOnly="0" outline="0" fieldPosition="0">
        <references count="4">
          <reference field="0" count="1" selected="0">
            <x v="1"/>
          </reference>
          <reference field="6" count="1">
            <x v="5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21">
      <pivotArea dataOnly="0" outline="0" fieldPosition="0">
        <references count="4">
          <reference field="0" count="1" selected="0">
            <x v="1"/>
          </reference>
          <reference field="6" count="1">
            <x v="5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20">
      <pivotArea dataOnly="0" outline="0" fieldPosition="0">
        <references count="4">
          <reference field="0" count="1" selected="0">
            <x v="1"/>
          </reference>
          <reference field="6" count="1">
            <x v="8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9">
      <pivotArea dataOnly="0" outline="0" fieldPosition="0">
        <references count="4">
          <reference field="0" count="1" selected="0">
            <x v="1"/>
          </reference>
          <reference field="6" count="1">
            <x v="1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8">
      <pivotArea dataOnly="0" outline="0" fieldPosition="0">
        <references count="4">
          <reference field="0" count="1" selected="0">
            <x v="1"/>
          </reference>
          <reference field="6" count="1">
            <x v="1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7">
      <pivotArea dataOnly="0" outline="0" fieldPosition="0">
        <references count="4">
          <reference field="0" count="1" selected="0">
            <x v="1"/>
          </reference>
          <reference field="4" count="1">
            <x v="2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6">
      <pivotArea dataOnly="0" outline="0" fieldPosition="0">
        <references count="4">
          <reference field="0" count="1" selected="0">
            <x v="1"/>
          </reference>
          <reference field="4" count="1">
            <x v="2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5">
      <pivotArea dataOnly="0" outline="0" fieldPosition="0">
        <references count="4">
          <reference field="0" count="1" selected="0">
            <x v="1"/>
          </reference>
          <reference field="3" count="1">
            <x v="2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4">
      <pivotArea dataOnly="0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3">
      <pivotArea dataOnly="0" outline="0" fieldPosition="0">
        <references count="5">
          <reference field="0" count="1" selected="0">
            <x v="1"/>
          </reference>
          <reference field="3" count="1">
            <x v="0"/>
          </reference>
          <reference field="6" count="1" selected="0">
            <x v="1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2">
      <pivotArea dataOnly="0" outline="0" fieldPosition="0">
        <references count="4">
          <reference field="0" count="1" selected="0">
            <x v="1"/>
          </reference>
          <reference field="3" count="1">
            <x v="1"/>
          </reference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1">
      <pivotArea field="20" dataOnly="0" grandRow="1" outline="0" axis="axisPage" fieldPosition="2">
        <references count="5">
          <reference field="0" count="1" selected="0">
            <x v="1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6" count="0" defaultSubtotal="1" sumSubtotal="1" countASubtotal="1" avgSubtotal="1" maxSubtotal="1" minSubtotal="1" productSubtotal="1" countSubtotal="1" stdDevSubtotal="1" stdDevPSubtotal="1" varSubtotal="1" varPSubtotal="1"/>
          <reference field="16" count="1" selected="0">
            <x v="1"/>
          </reference>
          <reference field="20" count="1" selected="0">
            <x v="0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outline="0" fieldPosition="0">
        <references count="1">
          <reference field="4294967294" count="1">
            <x v="2"/>
          </reference>
        </references>
      </pivotArea>
    </format>
    <format dxfId="7">
      <pivotArea outline="0" fieldPosition="0">
        <references count="1">
          <reference field="4294967294" count="1">
            <x v="2"/>
          </reference>
        </references>
      </pivotArea>
    </format>
    <format dxfId="6">
      <pivotArea outline="0" fieldPosition="0">
        <references count="1">
          <reference field="4294967294" count="1">
            <x v="1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dataOnly="0" labelOnly="1" outline="0" fieldPosition="0">
        <references count="1">
          <reference field="3" count="0"/>
        </references>
      </pivotArea>
    </format>
    <format dxfId="3">
      <pivotArea outline="0" collapsedLevelsAreSubtotals="1" fieldPosition="0">
        <references count="2">
          <reference field="4294967294" count="2" selected="0">
            <x v="1"/>
            <x v="2"/>
          </reference>
          <reference field="19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19" count="3" selected="0">
            <x v="1"/>
            <x v="2"/>
            <x v="3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3" count="0"/>
        </references>
      </pivotArea>
    </format>
  </formats>
  <pivotTableStyleInfo name="PivotStyleLight16 2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10:D14" firstHeaderRow="0" firstDataRow="1" firstDataCol="1" rowPageCount="5" colPageCount="1"/>
  <pivotFields count="22">
    <pivotField axis="axisPage" showAll="0">
      <items count="3">
        <item x="0"/>
        <item x="1"/>
        <item t="default"/>
      </items>
    </pivotField>
    <pivotField axis="axisPage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</items>
    </pivotField>
    <pivotField showAll="0"/>
    <pivotField showAll="0"/>
    <pivotField axis="axisPage" multipleItemSelectionAllowed="1" showAll="0">
      <items count="5">
        <item h="1" m="1" x="3"/>
        <item x="0"/>
        <item x="1"/>
        <item h="1" m="1" x="2"/>
        <item t="default"/>
      </items>
    </pivotField>
    <pivotField showAll="0"/>
    <pivotField axis="axisRow" showAll="0">
      <items count="11">
        <item n="KN" x="3"/>
        <item n="TP" x="1"/>
        <item x="4"/>
        <item x="7"/>
        <item x="5"/>
        <item n="HY" x="0"/>
        <item m="1" x="9"/>
        <item x="8"/>
        <item n="TT"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showAll="0"/>
    <pivotField dataField="1" showAll="0"/>
    <pivotField showAll="0"/>
    <pivotField axis="axisPage" showAll="0" defaultSubtotal="0">
      <items count="2">
        <item x="0"/>
        <item x="1"/>
      </items>
    </pivotField>
    <pivotField dataField="1" dragToRow="0" dragToCol="0" dragToPage="0" showAll="0" defaultSubtotal="0"/>
  </pivotFields>
  <rowFields count="1">
    <field x="6"/>
  </rowFields>
  <rowItems count="4">
    <i>
      <x/>
    </i>
    <i>
      <x v="1"/>
    </i>
    <i>
      <x v="5"/>
    </i>
    <i>
      <x v="8"/>
    </i>
  </rowItems>
  <colFields count="1">
    <field x="-2"/>
  </colFields>
  <colItems count="3">
    <i>
      <x/>
    </i>
    <i i="1">
      <x v="1"/>
    </i>
    <i i="2">
      <x v="2"/>
    </i>
  </colItems>
  <pageFields count="5">
    <pageField fld="0" item="1" hier="-1"/>
    <pageField fld="1" hier="-1"/>
    <pageField fld="20" item="0" hier="-1"/>
    <pageField fld="16" hier="-1"/>
    <pageField fld="4" hier="-1"/>
  </pageFields>
  <dataFields count="3">
    <dataField name="Estimated Loss " fld="15" baseField="6" baseItem="4" numFmtId="165"/>
    <dataField name="Actual Loss " fld="18" baseField="6" baseItem="0" numFmtId="165"/>
    <dataField name="LossChange " fld="21" baseField="6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4">
  <location ref="A160:C163" firstHeaderRow="1" firstDataRow="2" firstDataCol="1" rowPageCount="5" colPageCount="1"/>
  <pivotFields count="22">
    <pivotField axis="axisPage" compact="0" outline="0" showAll="0" defaultSubtotal="0">
      <items count="2">
        <item x="0"/>
        <item x="1"/>
      </items>
    </pivotField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m="1" x="3"/>
        <item h="1" x="0"/>
        <item x="1"/>
        <item h="1" m="1" x="2"/>
      </items>
    </pivotField>
    <pivotField axis="axisCol" compact="0" outline="0" showAll="0" defaultSubtotal="0">
      <items count="57">
        <item x="22"/>
        <item x="27"/>
        <item x="16"/>
        <item x="10"/>
        <item x="25"/>
        <item x="41"/>
        <item x="5"/>
        <item x="55"/>
        <item x="3"/>
        <item x="14"/>
        <item x="54"/>
        <item x="19"/>
        <item x="11"/>
        <item x="42"/>
        <item x="30"/>
        <item x="37"/>
        <item x="50"/>
        <item x="45"/>
        <item x="38"/>
        <item x="15"/>
        <item x="17"/>
        <item x="49"/>
        <item x="2"/>
        <item x="46"/>
        <item x="12"/>
        <item x="4"/>
        <item x="1"/>
        <item x="32"/>
        <item x="43"/>
        <item x="18"/>
        <item x="48"/>
        <item x="20"/>
        <item x="52"/>
        <item x="33"/>
        <item x="51"/>
        <item x="53"/>
        <item x="13"/>
        <item m="1" x="56"/>
        <item x="39"/>
        <item x="26"/>
        <item x="29"/>
        <item x="31"/>
        <item x="23"/>
        <item x="40"/>
        <item x="9"/>
        <item x="8"/>
        <item x="28"/>
        <item x="36"/>
        <item x="34"/>
        <item x="0"/>
        <item x="7"/>
        <item x="21"/>
        <item x="24"/>
        <item x="6"/>
        <item x="47"/>
        <item x="44"/>
        <item x="35"/>
      </items>
    </pivotField>
    <pivotField axis="axisRow" compact="0" outline="0" showAll="0" defaultSubtotal="0">
      <items count="10">
        <item n="KN" x="3"/>
        <item n="TP" x="1"/>
        <item x="4"/>
        <item x="7"/>
        <item x="5"/>
        <item x="0"/>
        <item m="1" x="9"/>
        <item x="8"/>
        <item x="6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2"/>
        <item x="0"/>
        <item h="1" x="1"/>
        <item h="1"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multipleItemSelectionAllowed="1" showAll="0" defaultSubtotal="0">
      <items count="2">
        <item x="0"/>
        <item h="1" x="1"/>
      </items>
    </pivotField>
    <pivotField compact="0" outline="0" dragToRow="0" dragToCol="0" dragToPage="0" showAll="0" defaultSubtotal="0"/>
  </pivotFields>
  <rowFields count="1">
    <field x="6"/>
  </rowFields>
  <rowItems count="2">
    <i>
      <x/>
    </i>
    <i>
      <x v="1"/>
    </i>
  </rowItems>
  <colFields count="1">
    <field x="5"/>
  </colFields>
  <colItems count="2">
    <i>
      <x/>
    </i>
    <i>
      <x v="23"/>
    </i>
  </colItems>
  <pageFields count="5">
    <pageField fld="0" item="1" hier="-1"/>
    <pageField fld="1" hier="-1"/>
    <pageField fld="20" hier="-1"/>
    <pageField fld="16" hier="-1"/>
    <pageField fld="4" hier="-1"/>
  </pageFields>
  <dataFields count="1">
    <dataField name="Sum of Actual Loss" fld="18" baseField="4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7:D40" firstHeaderRow="0" firstDataRow="1" firstDataCol="1" rowPageCount="5" colPageCount="1"/>
  <pivotFields count="22">
    <pivotField axis="axisPage" showAll="0">
      <items count="3">
        <item x="0"/>
        <item x="1"/>
        <item t="default"/>
      </items>
    </pivotField>
    <pivotField axis="axisPage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</items>
    </pivotField>
    <pivotField showAll="0"/>
    <pivotField showAll="0"/>
    <pivotField axis="axisPage" multipleItemSelectionAllowed="1" showAll="0">
      <items count="5">
        <item h="1" m="1" x="3"/>
        <item x="0"/>
        <item h="1" x="1"/>
        <item h="1" m="1" x="2"/>
        <item t="default"/>
      </items>
    </pivotField>
    <pivotField showAll="0"/>
    <pivotField axis="axisRow" showAll="0">
      <items count="11">
        <item x="3"/>
        <item n="TP" x="1"/>
        <item x="4"/>
        <item x="7"/>
        <item x="5"/>
        <item n="HY" x="0"/>
        <item m="1" x="9"/>
        <item x="8"/>
        <item n="TT"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showAll="0"/>
    <pivotField dataField="1" showAll="0"/>
    <pivotField showAll="0"/>
    <pivotField axis="axisPage" showAll="0" defaultSubtotal="0">
      <items count="2">
        <item x="0"/>
        <item x="1"/>
      </items>
    </pivotField>
    <pivotField dataField="1" dragToRow="0" dragToCol="0" dragToPage="0" showAll="0" defaultSubtotal="0"/>
  </pivotFields>
  <rowFields count="1">
    <field x="6"/>
  </rowFields>
  <rowItems count="3">
    <i>
      <x v="1"/>
    </i>
    <i>
      <x v="5"/>
    </i>
    <i>
      <x v="8"/>
    </i>
  </rowItems>
  <colFields count="1">
    <field x="-2"/>
  </colFields>
  <colItems count="3">
    <i>
      <x/>
    </i>
    <i i="1">
      <x v="1"/>
    </i>
    <i i="2">
      <x v="2"/>
    </i>
  </colItems>
  <pageFields count="5">
    <pageField fld="0" item="1" hier="-1"/>
    <pageField fld="1" hier="-1"/>
    <pageField fld="20" item="0" hier="-1"/>
    <pageField fld="16" hier="-1"/>
    <pageField fld="4" hier="-1"/>
  </pageFields>
  <dataFields count="3">
    <dataField name="Estimated Loss " fld="15" baseField="6" baseItem="4" numFmtId="165"/>
    <dataField name="Actual Loss " fld="18" baseField="6" baseItem="0" numFmtId="165"/>
    <dataField name="LossChange " fld="21" baseField="6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64:D66" firstHeaderRow="0" firstDataRow="1" firstDataCol="1" rowPageCount="5" colPageCount="1"/>
  <pivotFields count="22">
    <pivotField axis="axisPage" showAll="0">
      <items count="3">
        <item x="0"/>
        <item x="1"/>
        <item t="default"/>
      </items>
    </pivotField>
    <pivotField axis="axisPage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</items>
    </pivotField>
    <pivotField showAll="0"/>
    <pivotField showAll="0"/>
    <pivotField axis="axisPage" multipleItemSelectionAllowed="1" showAll="0">
      <items count="5">
        <item h="1" m="1" x="3"/>
        <item h="1" x="0"/>
        <item x="1"/>
        <item h="1" m="1" x="2"/>
        <item t="default"/>
      </items>
    </pivotField>
    <pivotField showAll="0"/>
    <pivotField axis="axisRow" showAll="0">
      <items count="11">
        <item n="KN" x="3"/>
        <item n="TP" x="1"/>
        <item x="4"/>
        <item x="7"/>
        <item x="5"/>
        <item x="0"/>
        <item m="1" x="9"/>
        <item x="8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showAll="0"/>
    <pivotField dataField="1" showAll="0"/>
    <pivotField showAll="0"/>
    <pivotField axis="axisPage" showAll="0" defaultSubtotal="0">
      <items count="2">
        <item x="0"/>
        <item x="1"/>
      </items>
    </pivotField>
    <pivotField dataField="1" dragToRow="0" dragToCol="0" dragToPage="0" showAll="0" defaultSubtotal="0"/>
  </pivotFields>
  <rowFields count="1">
    <field x="6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5">
    <pageField fld="0" item="1" hier="-1"/>
    <pageField fld="1" hier="-1"/>
    <pageField fld="20" item="0" hier="-1"/>
    <pageField fld="16" hier="-1"/>
    <pageField fld="4" hier="-1"/>
  </pageFields>
  <dataFields count="3">
    <dataField name="Estimated Loss " fld="15" baseField="6" baseItem="4" numFmtId="165"/>
    <dataField name="Actual Loss " fld="18" baseField="6" baseItem="0" numFmtId="165"/>
    <dataField name="LossChange " fld="21" baseField="6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91:C96" firstHeaderRow="1" firstDataRow="2" firstDataCol="1" rowPageCount="4" colPageCount="1"/>
  <pivotFields count="22">
    <pivotField axis="axisPage" compact="0" outline="0" showAll="0" defaultSubtotal="0">
      <items count="2">
        <item x="0"/>
        <item x="1"/>
      </items>
    </pivotField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</items>
    </pivotField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4">
        <item h="1" m="1" x="3"/>
        <item x="0"/>
        <item x="1"/>
        <item h="1" m="1" x="2"/>
      </items>
    </pivotField>
    <pivotField compact="0" outline="0" showAll="0" defaultSubtotal="0"/>
    <pivotField axis="axisRow" compact="0" outline="0" showAll="0" defaultSubtotal="0">
      <items count="10">
        <item n="KN" x="3"/>
        <item n="TP" x="1"/>
        <item x="4"/>
        <item x="7"/>
        <item x="5"/>
        <item n="HY" x="0"/>
        <item m="1" x="9"/>
        <item x="8"/>
        <item x="6"/>
        <item n="TT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x="1"/>
      </items>
    </pivotField>
    <pivotField compact="0" outline="0" dragToRow="0" dragToCol="0" dragToPage="0" showAll="0" defaultSubtotal="0"/>
  </pivotFields>
  <rowFields count="1">
    <field x="6"/>
  </rowFields>
  <rowItems count="4">
    <i>
      <x/>
    </i>
    <i>
      <x v="1"/>
    </i>
    <i>
      <x v="5"/>
    </i>
    <i>
      <x v="9"/>
    </i>
  </rowItems>
  <colFields count="1">
    <field x="4"/>
  </colFields>
  <colItems count="2">
    <i>
      <x v="1"/>
    </i>
    <i>
      <x v="2"/>
    </i>
  </colItems>
  <pageFields count="4">
    <pageField fld="0" item="1" hier="-1"/>
    <pageField fld="1" hier="-1"/>
    <pageField fld="20" item="0" hier="-1"/>
    <pageField fld="16" item="1" hier="-1"/>
  </pageFields>
  <dataFields count="1">
    <dataField name="Sum of Actual Loss" fld="18" baseField="4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4">
  <location ref="A124:J128" firstHeaderRow="1" firstDataRow="2" firstDataCol="1" rowPageCount="5" colPageCount="1"/>
  <pivotFields count="22">
    <pivotField axis="axisPage" compact="0" outline="0" showAll="0" defaultSubtotal="0">
      <items count="2">
        <item x="0"/>
        <item x="1"/>
      </items>
    </pivotField>
    <pivotField axis="axisPage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</items>
    </pivotField>
    <pivotField compact="0" outline="0" showAll="0" defaultSubtotal="0"/>
    <pivotField axis="axisCol" compact="0" outline="0" showAll="0" defaultSubtotal="0">
      <items count="12">
        <item x="8"/>
        <item x="10"/>
        <item n="01. Powdered Beverages" x="0"/>
        <item n="02. Nutrition Product" x="3"/>
        <item n="03. Snack" x="6"/>
        <item n="04. Milk products" x="5"/>
        <item x="4"/>
        <item n="07. Liquid beverages" x="1"/>
        <item x="2"/>
        <item x="7"/>
        <item m="1" x="11"/>
        <item x="9"/>
      </items>
    </pivotField>
    <pivotField axis="axisPage" compact="0" outline="0" multipleItemSelectionAllowed="1" showAll="0" defaultSubtotal="0">
      <items count="4">
        <item h="1" m="1" x="3"/>
        <item x="0"/>
        <item h="1" x="1"/>
        <item h="1" m="1" x="2"/>
      </items>
    </pivotField>
    <pivotField compact="0" outline="0" showAll="0" defaultSubtotal="0"/>
    <pivotField axis="axisRow" compact="0" outline="0" showAll="0" defaultSubtotal="0">
      <items count="10">
        <item x="3"/>
        <item n="TP" x="1"/>
        <item x="4"/>
        <item x="7"/>
        <item x="5"/>
        <item n="HY" x="0"/>
        <item m="1" x="9"/>
        <item x="8"/>
        <item x="6"/>
        <item n="TT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x="1"/>
      </items>
    </pivotField>
    <pivotField compact="0" outline="0" dragToRow="0" dragToCol="0" dragToPage="0" showAll="0" defaultSubtotal="0"/>
  </pivotFields>
  <rowFields count="1">
    <field x="6"/>
  </rowFields>
  <rowItems count="3">
    <i>
      <x v="1"/>
    </i>
    <i>
      <x v="5"/>
    </i>
    <i>
      <x v="9"/>
    </i>
  </rowItems>
  <colFields count="1">
    <field x="3"/>
  </colFields>
  <col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</colItems>
  <pageFields count="5">
    <pageField fld="0" item="1" hier="-1"/>
    <pageField fld="1" hier="-1"/>
    <pageField fld="20" item="0" hier="-1"/>
    <pageField fld="16" item="1" hier="-1"/>
    <pageField fld="4" hier="-1"/>
  </pageFields>
  <dataFields count="1">
    <dataField name="Sum of Actual Loss" fld="18" baseField="4" baseItem="2" numFmtId="165"/>
  </dataFields>
  <chartFormats count="1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AT40"/>
  <sheetViews>
    <sheetView showGridLines="0" tabSelected="1" zoomScaleNormal="100" workbookViewId="0">
      <selection activeCell="AG34" sqref="AG34"/>
    </sheetView>
  </sheetViews>
  <sheetFormatPr defaultColWidth="5.7109375" defaultRowHeight="15" outlineLevelCol="1" x14ac:dyDescent="0.25"/>
  <cols>
    <col min="1" max="1" width="2.28515625" style="1" customWidth="1"/>
    <col min="2" max="2" width="3.42578125" style="1" customWidth="1"/>
    <col min="3" max="3" width="4.5703125" style="1" customWidth="1"/>
    <col min="4" max="4" width="3.42578125" style="1" customWidth="1"/>
    <col min="5" max="5" width="2.140625" style="1" customWidth="1"/>
    <col min="6" max="27" width="5.42578125" style="1" customWidth="1"/>
    <col min="28" max="29" width="4.7109375" style="1" customWidth="1"/>
    <col min="30" max="30" width="4.140625" style="1" customWidth="1"/>
    <col min="31" max="31" width="7.140625" style="4" customWidth="1"/>
    <col min="32" max="32" width="7.5703125" style="4" customWidth="1"/>
    <col min="33" max="33" width="20.140625" style="3" customWidth="1"/>
    <col min="34" max="34" width="12.85546875" style="2" hidden="1" customWidth="1" outlineLevel="1"/>
    <col min="35" max="35" width="12.42578125" style="2" customWidth="1" collapsed="1"/>
    <col min="36" max="36" width="12.42578125" style="2" customWidth="1"/>
    <col min="37" max="37" width="12.85546875" style="2" hidden="1" customWidth="1" outlineLevel="1"/>
    <col min="38" max="38" width="12.42578125" style="1" customWidth="1" collapsed="1"/>
    <col min="39" max="39" width="12.42578125" style="1" customWidth="1"/>
    <col min="40" max="40" width="12.85546875" style="1" hidden="1" customWidth="1" outlineLevel="1"/>
    <col min="41" max="41" width="12.42578125" style="1" customWidth="1" collapsed="1"/>
    <col min="42" max="42" width="12.42578125" style="1" customWidth="1"/>
    <col min="43" max="43" width="12.85546875" style="1" hidden="1" customWidth="1" outlineLevel="1"/>
    <col min="44" max="44" width="12.42578125" style="1" customWidth="1" collapsed="1"/>
    <col min="45" max="45" width="12.42578125" style="1" customWidth="1"/>
    <col min="46" max="16384" width="5.7109375" style="1"/>
  </cols>
  <sheetData>
    <row r="1" spans="2:46" ht="9" customHeight="1" x14ac:dyDescent="0.25"/>
    <row r="2" spans="2:46" ht="27.75" x14ac:dyDescent="0.25">
      <c r="B2" s="29" t="s">
        <v>61</v>
      </c>
    </row>
    <row r="3" spans="2:46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8"/>
      <c r="AF3" s="8"/>
      <c r="AG3" s="7"/>
      <c r="AH3" s="6"/>
      <c r="AI3" s="6"/>
      <c r="AJ3" s="6"/>
      <c r="AK3" s="6"/>
      <c r="AL3" s="5"/>
      <c r="AM3" s="5"/>
      <c r="AN3" s="5"/>
      <c r="AO3" s="5"/>
      <c r="AP3" s="5"/>
      <c r="AQ3" s="5"/>
      <c r="AR3" s="5"/>
      <c r="AS3" s="5"/>
      <c r="AT3" s="5"/>
    </row>
    <row r="4" spans="2:46" ht="17.25" x14ac:dyDescent="0.3">
      <c r="B4" s="5"/>
      <c r="C4" s="5"/>
      <c r="D4" s="5"/>
      <c r="E4" s="5"/>
      <c r="F4" s="18" t="s">
        <v>28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 t="s">
        <v>8</v>
      </c>
      <c r="T4" s="11"/>
      <c r="U4" s="11"/>
      <c r="V4" s="11"/>
      <c r="W4" s="11"/>
      <c r="X4" s="11"/>
      <c r="Y4" s="11"/>
      <c r="Z4" s="11"/>
      <c r="AA4" s="11"/>
      <c r="AB4" s="5"/>
      <c r="AC4" s="5"/>
      <c r="AD4" s="5"/>
      <c r="AE4" s="26" t="s">
        <v>27</v>
      </c>
      <c r="AF4" s="28">
        <v>2022</v>
      </c>
      <c r="AG4" s="7"/>
      <c r="AH4" s="6"/>
      <c r="AI4" s="25"/>
      <c r="AJ4" s="6"/>
      <c r="AK4" s="6"/>
      <c r="AL4" s="5"/>
      <c r="AM4" s="5"/>
      <c r="AN4" s="5"/>
      <c r="AO4" s="5"/>
      <c r="AP4" s="5"/>
      <c r="AQ4" s="5"/>
      <c r="AR4" s="5"/>
      <c r="AS4" s="5"/>
      <c r="AT4" s="5"/>
    </row>
    <row r="5" spans="2:46" x14ac:dyDescent="0.25">
      <c r="B5" s="5"/>
      <c r="C5" s="2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26" t="s">
        <v>26</v>
      </c>
      <c r="AF5" t="s">
        <v>25</v>
      </c>
      <c r="AG5" s="7"/>
      <c r="AH5" s="6"/>
      <c r="AI5" s="25"/>
      <c r="AJ5" s="6"/>
      <c r="AK5" s="6"/>
      <c r="AL5" s="5"/>
      <c r="AM5" s="5"/>
      <c r="AN5" s="5"/>
      <c r="AO5" s="5"/>
      <c r="AP5" s="5"/>
      <c r="AQ5" s="5"/>
      <c r="AR5" s="5"/>
      <c r="AS5" s="5"/>
      <c r="AT5" s="5"/>
    </row>
    <row r="6" spans="2:46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0" t="s">
        <v>24</v>
      </c>
      <c r="AF6" s="51" t="s">
        <v>23</v>
      </c>
      <c r="AG6" s="52"/>
      <c r="AH6" s="6"/>
      <c r="AI6" s="25"/>
      <c r="AJ6" s="6"/>
      <c r="AK6" s="6"/>
      <c r="AL6" s="5"/>
      <c r="AM6" s="5"/>
      <c r="AN6" s="5"/>
      <c r="AO6" s="5"/>
      <c r="AP6" s="5"/>
      <c r="AQ6" s="5"/>
      <c r="AR6" s="5"/>
      <c r="AS6" s="5"/>
      <c r="AT6" s="5"/>
    </row>
    <row r="7" spans="2:46" x14ac:dyDescent="0.2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8"/>
      <c r="AF7" s="8"/>
      <c r="AG7" s="7"/>
      <c r="AH7" s="6"/>
      <c r="AI7" s="25"/>
      <c r="AJ7" s="6"/>
      <c r="AK7" s="6"/>
      <c r="AL7" s="5"/>
      <c r="AM7" s="5"/>
      <c r="AN7" s="5"/>
      <c r="AO7" s="5"/>
      <c r="AP7" s="5"/>
      <c r="AQ7" s="5"/>
      <c r="AR7" s="5"/>
      <c r="AS7" s="5"/>
      <c r="AT7" s="5"/>
    </row>
    <row r="8" spans="2:46" hidden="1" x14ac:dyDescent="0.2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24"/>
      <c r="AF8" s="24"/>
      <c r="AG8" s="24"/>
      <c r="AH8" s="23" t="s">
        <v>22</v>
      </c>
      <c r="AI8" s="23" t="s">
        <v>21</v>
      </c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5"/>
    </row>
    <row r="9" spans="2:46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/>
      <c r="AF9" s="8"/>
      <c r="AG9" s="8"/>
      <c r="AH9" s="72" t="s">
        <v>20</v>
      </c>
      <c r="AI9" s="73"/>
      <c r="AJ9" s="83"/>
      <c r="AK9" s="84" t="s">
        <v>19</v>
      </c>
      <c r="AL9" s="85"/>
      <c r="AM9" s="86"/>
      <c r="AN9" s="69" t="s">
        <v>18</v>
      </c>
      <c r="AO9" s="70"/>
      <c r="AP9" s="71"/>
      <c r="AQ9" s="72" t="s">
        <v>17</v>
      </c>
      <c r="AR9" s="73"/>
      <c r="AS9" s="74"/>
      <c r="AT9" s="5"/>
    </row>
    <row r="10" spans="2:46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21" t="s">
        <v>16</v>
      </c>
      <c r="AF10" s="21" t="s">
        <v>15</v>
      </c>
      <c r="AG10" s="21" t="s">
        <v>14</v>
      </c>
      <c r="AH10" s="20" t="s">
        <v>13</v>
      </c>
      <c r="AI10" s="20" t="s">
        <v>12</v>
      </c>
      <c r="AJ10" s="19" t="s">
        <v>11</v>
      </c>
      <c r="AK10" s="20" t="s">
        <v>13</v>
      </c>
      <c r="AL10" s="20" t="s">
        <v>12</v>
      </c>
      <c r="AM10" s="19" t="s">
        <v>11</v>
      </c>
      <c r="AN10" s="20" t="s">
        <v>13</v>
      </c>
      <c r="AO10" s="20" t="s">
        <v>12</v>
      </c>
      <c r="AP10" s="19" t="s">
        <v>11</v>
      </c>
      <c r="AQ10" s="20" t="s">
        <v>13</v>
      </c>
      <c r="AR10" s="20" t="s">
        <v>12</v>
      </c>
      <c r="AS10" s="19" t="s">
        <v>11</v>
      </c>
      <c r="AT10" s="5"/>
    </row>
    <row r="11" spans="2:46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75" t="s">
        <v>10</v>
      </c>
      <c r="AF11" s="77" t="s">
        <v>54</v>
      </c>
      <c r="AG11" s="47" t="s">
        <v>57</v>
      </c>
      <c r="AH11" s="15">
        <v>-211358.5</v>
      </c>
      <c r="AI11" s="53">
        <v>-50239</v>
      </c>
      <c r="AJ11" s="61">
        <v>161119.5</v>
      </c>
      <c r="AK11" s="54"/>
      <c r="AL11" s="53"/>
      <c r="AM11" s="61">
        <v>0</v>
      </c>
      <c r="AN11" s="54"/>
      <c r="AO11" s="53"/>
      <c r="AP11" s="65">
        <v>0</v>
      </c>
      <c r="AQ11" s="53"/>
      <c r="AR11" s="53"/>
      <c r="AS11" s="65">
        <v>0</v>
      </c>
      <c r="AT11" s="5"/>
    </row>
    <row r="12" spans="2:46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76"/>
      <c r="AF12" s="78"/>
      <c r="AG12" s="48" t="s">
        <v>58</v>
      </c>
      <c r="AH12" s="17"/>
      <c r="AI12" s="55"/>
      <c r="AJ12" s="62">
        <v>0</v>
      </c>
      <c r="AK12" s="56">
        <v>246017579.76190478</v>
      </c>
      <c r="AL12" s="55">
        <v>245651579.76190478</v>
      </c>
      <c r="AM12" s="62">
        <v>-366000</v>
      </c>
      <c r="AN12" s="56"/>
      <c r="AO12" s="55"/>
      <c r="AP12" s="66">
        <v>0</v>
      </c>
      <c r="AQ12" s="55"/>
      <c r="AR12" s="55"/>
      <c r="AS12" s="66">
        <v>0</v>
      </c>
      <c r="AT12" s="5"/>
    </row>
    <row r="13" spans="2:46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76"/>
      <c r="AF13" s="78"/>
      <c r="AG13" s="48" t="s">
        <v>6</v>
      </c>
      <c r="AH13" s="17">
        <v>12842070.473381806</v>
      </c>
      <c r="AI13" s="55">
        <v>0</v>
      </c>
      <c r="AJ13" s="62">
        <v>-12842070.473381806</v>
      </c>
      <c r="AK13" s="56"/>
      <c r="AL13" s="55"/>
      <c r="AM13" s="62">
        <v>0</v>
      </c>
      <c r="AN13" s="56"/>
      <c r="AO13" s="55"/>
      <c r="AP13" s="66">
        <v>0</v>
      </c>
      <c r="AQ13" s="55"/>
      <c r="AR13" s="55"/>
      <c r="AS13" s="66">
        <v>0</v>
      </c>
      <c r="AT13" s="5"/>
    </row>
    <row r="14" spans="2:46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12" t="s">
        <v>0</v>
      </c>
      <c r="T14" s="11"/>
      <c r="U14" s="11"/>
      <c r="V14" s="11"/>
      <c r="W14" s="11"/>
      <c r="X14" s="11"/>
      <c r="Y14" s="11"/>
      <c r="Z14" s="11"/>
      <c r="AA14" s="11"/>
      <c r="AB14" s="5"/>
      <c r="AC14" s="5"/>
      <c r="AD14" s="5"/>
      <c r="AE14" s="76"/>
      <c r="AF14" s="78"/>
      <c r="AG14" s="48" t="s">
        <v>4</v>
      </c>
      <c r="AH14" s="17"/>
      <c r="AI14" s="55"/>
      <c r="AJ14" s="62">
        <v>0</v>
      </c>
      <c r="AK14" s="56">
        <v>26547053.217599999</v>
      </c>
      <c r="AL14" s="55">
        <v>26253316.5504</v>
      </c>
      <c r="AM14" s="62">
        <v>-293736.66719999909</v>
      </c>
      <c r="AN14" s="56"/>
      <c r="AO14" s="55"/>
      <c r="AP14" s="66">
        <v>0</v>
      </c>
      <c r="AQ14" s="55"/>
      <c r="AR14" s="55"/>
      <c r="AS14" s="66">
        <v>0</v>
      </c>
      <c r="AT14" s="5"/>
    </row>
    <row r="15" spans="2:46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76"/>
      <c r="AF15" s="79"/>
      <c r="AG15" s="48" t="s">
        <v>9</v>
      </c>
      <c r="AH15" s="14">
        <v>0</v>
      </c>
      <c r="AI15" s="57">
        <v>0</v>
      </c>
      <c r="AJ15" s="63">
        <v>0</v>
      </c>
      <c r="AK15" s="58"/>
      <c r="AL15" s="57"/>
      <c r="AM15" s="63">
        <v>0</v>
      </c>
      <c r="AN15" s="58"/>
      <c r="AO15" s="57"/>
      <c r="AP15" s="67">
        <v>0</v>
      </c>
      <c r="AQ15" s="57"/>
      <c r="AR15" s="57"/>
      <c r="AS15" s="67">
        <v>0</v>
      </c>
      <c r="AT15" s="5"/>
    </row>
    <row r="16" spans="2:46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76"/>
      <c r="AF16" s="77" t="s">
        <v>55</v>
      </c>
      <c r="AG16" s="47" t="s">
        <v>57</v>
      </c>
      <c r="AH16" s="15">
        <v>8647753.2640625499</v>
      </c>
      <c r="AI16" s="53">
        <v>7974528.449629318</v>
      </c>
      <c r="AJ16" s="61">
        <v>-673224.81443323195</v>
      </c>
      <c r="AK16" s="54">
        <v>76894.620900000009</v>
      </c>
      <c r="AL16" s="53">
        <v>76894.620900000009</v>
      </c>
      <c r="AM16" s="61">
        <v>0</v>
      </c>
      <c r="AN16" s="54"/>
      <c r="AO16" s="53"/>
      <c r="AP16" s="65">
        <v>0</v>
      </c>
      <c r="AQ16" s="53"/>
      <c r="AR16" s="53"/>
      <c r="AS16" s="65">
        <v>0</v>
      </c>
      <c r="AT16" s="5"/>
    </row>
    <row r="17" spans="2:46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76"/>
      <c r="AF17" s="78"/>
      <c r="AG17" s="48" t="s">
        <v>58</v>
      </c>
      <c r="AH17" s="17">
        <v>1079065.2963855425</v>
      </c>
      <c r="AI17" s="55">
        <v>1079065.2963855425</v>
      </c>
      <c r="AJ17" s="62">
        <v>0</v>
      </c>
      <c r="AK17" s="56">
        <v>1215065.2963855425</v>
      </c>
      <c r="AL17" s="55">
        <v>1215065.2963855425</v>
      </c>
      <c r="AM17" s="62">
        <v>0</v>
      </c>
      <c r="AN17" s="56"/>
      <c r="AO17" s="55"/>
      <c r="AP17" s="66">
        <v>0</v>
      </c>
      <c r="AQ17" s="55"/>
      <c r="AR17" s="55"/>
      <c r="AS17" s="66">
        <v>0</v>
      </c>
      <c r="AT17" s="5"/>
    </row>
    <row r="18" spans="2:46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76"/>
      <c r="AF18" s="78"/>
      <c r="AG18" s="48" t="s">
        <v>59</v>
      </c>
      <c r="AH18" s="17">
        <v>1353166.4480181818</v>
      </c>
      <c r="AI18" s="55">
        <v>1353166.4480181818</v>
      </c>
      <c r="AJ18" s="62">
        <v>0</v>
      </c>
      <c r="AK18" s="56"/>
      <c r="AL18" s="55"/>
      <c r="AM18" s="62">
        <v>0</v>
      </c>
      <c r="AN18" s="56"/>
      <c r="AO18" s="55"/>
      <c r="AP18" s="66">
        <v>0</v>
      </c>
      <c r="AQ18" s="55"/>
      <c r="AR18" s="55"/>
      <c r="AS18" s="66">
        <v>0</v>
      </c>
      <c r="AT18" s="5"/>
    </row>
    <row r="19" spans="2:46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76"/>
      <c r="AF19" s="78"/>
      <c r="AG19" s="48" t="s">
        <v>6</v>
      </c>
      <c r="AH19" s="17"/>
      <c r="AI19" s="55"/>
      <c r="AJ19" s="62">
        <v>0</v>
      </c>
      <c r="AK19" s="56">
        <v>20600041.7126</v>
      </c>
      <c r="AL19" s="55">
        <v>20600041.7126</v>
      </c>
      <c r="AM19" s="62">
        <v>0</v>
      </c>
      <c r="AN19" s="56"/>
      <c r="AO19" s="55"/>
      <c r="AP19" s="66">
        <v>0</v>
      </c>
      <c r="AQ19" s="55"/>
      <c r="AR19" s="55"/>
      <c r="AS19" s="66">
        <v>0</v>
      </c>
      <c r="AT19" s="5"/>
    </row>
    <row r="20" spans="2:46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76"/>
      <c r="AF20" s="78"/>
      <c r="AG20" s="48" t="s">
        <v>5</v>
      </c>
      <c r="AH20" s="17">
        <v>3253413.0457592802</v>
      </c>
      <c r="AI20" s="55">
        <v>3023912.8957240963</v>
      </c>
      <c r="AJ20" s="62">
        <v>-229500.15003518388</v>
      </c>
      <c r="AK20" s="56"/>
      <c r="AL20" s="55"/>
      <c r="AM20" s="62">
        <v>0</v>
      </c>
      <c r="AN20" s="56"/>
      <c r="AO20" s="55"/>
      <c r="AP20" s="66">
        <v>0</v>
      </c>
      <c r="AQ20" s="55"/>
      <c r="AR20" s="55"/>
      <c r="AS20" s="66">
        <v>0</v>
      </c>
      <c r="AT20" s="5"/>
    </row>
    <row r="21" spans="2:46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76"/>
      <c r="AF21" s="79"/>
      <c r="AG21" s="48" t="s">
        <v>4</v>
      </c>
      <c r="AH21" s="14">
        <v>4826334.1591333328</v>
      </c>
      <c r="AI21" s="57">
        <v>4727208.2721333327</v>
      </c>
      <c r="AJ21" s="63">
        <v>-99125.887000000104</v>
      </c>
      <c r="AK21" s="58"/>
      <c r="AL21" s="57"/>
      <c r="AM21" s="63">
        <v>0</v>
      </c>
      <c r="AN21" s="58"/>
      <c r="AO21" s="57"/>
      <c r="AP21" s="67">
        <v>0</v>
      </c>
      <c r="AQ21" s="57"/>
      <c r="AR21" s="57"/>
      <c r="AS21" s="67">
        <v>0</v>
      </c>
      <c r="AT21" s="5"/>
    </row>
    <row r="22" spans="2:46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76"/>
      <c r="AF22" s="82" t="s">
        <v>56</v>
      </c>
      <c r="AG22" s="47" t="s">
        <v>57</v>
      </c>
      <c r="AH22" s="15">
        <v>4773333.0223267982</v>
      </c>
      <c r="AI22" s="53">
        <v>3916217.1516605914</v>
      </c>
      <c r="AJ22" s="61">
        <v>-857115.87066620681</v>
      </c>
      <c r="AK22" s="54"/>
      <c r="AL22" s="53"/>
      <c r="AM22" s="61">
        <v>0</v>
      </c>
      <c r="AN22" s="54">
        <v>26663498.570376337</v>
      </c>
      <c r="AO22" s="53">
        <v>26663498.570376337</v>
      </c>
      <c r="AP22" s="65">
        <v>0</v>
      </c>
      <c r="AQ22" s="53"/>
      <c r="AR22" s="53"/>
      <c r="AS22" s="65">
        <v>0</v>
      </c>
      <c r="AT22" s="5"/>
    </row>
    <row r="23" spans="2:46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76"/>
      <c r="AF23" s="78"/>
      <c r="AG23" s="48" t="s">
        <v>58</v>
      </c>
      <c r="AH23" s="17">
        <v>32767672.528799996</v>
      </c>
      <c r="AI23" s="55">
        <v>5894511.8096000003</v>
      </c>
      <c r="AJ23" s="62">
        <v>-26873160.719199996</v>
      </c>
      <c r="AK23" s="56">
        <v>7620504.4545454551</v>
      </c>
      <c r="AL23" s="55">
        <v>1438904.4545454546</v>
      </c>
      <c r="AM23" s="62">
        <v>-6181600</v>
      </c>
      <c r="AN23" s="56">
        <v>35609439.216927275</v>
      </c>
      <c r="AO23" s="55">
        <v>35609439.216927275</v>
      </c>
      <c r="AP23" s="66">
        <v>0</v>
      </c>
      <c r="AQ23" s="55"/>
      <c r="AR23" s="55"/>
      <c r="AS23" s="66">
        <v>0</v>
      </c>
      <c r="AT23" s="5"/>
    </row>
    <row r="24" spans="2:46" ht="17.25" x14ac:dyDescent="0.3">
      <c r="B24" s="5"/>
      <c r="C24" s="5"/>
      <c r="D24" s="5"/>
      <c r="E24" s="5"/>
      <c r="F24" s="18" t="s">
        <v>62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 t="s">
        <v>8</v>
      </c>
      <c r="T24" s="11"/>
      <c r="U24" s="11"/>
      <c r="V24" s="11"/>
      <c r="W24" s="11"/>
      <c r="X24" s="11"/>
      <c r="Y24" s="11"/>
      <c r="Z24" s="11"/>
      <c r="AA24" s="11"/>
      <c r="AB24" s="5"/>
      <c r="AC24" s="5"/>
      <c r="AD24" s="5"/>
      <c r="AE24" s="76"/>
      <c r="AF24" s="78"/>
      <c r="AG24" s="48" t="s">
        <v>7</v>
      </c>
      <c r="AH24" s="17">
        <v>2481841.5555555555</v>
      </c>
      <c r="AI24" s="55">
        <v>1304018.4444444445</v>
      </c>
      <c r="AJ24" s="62">
        <v>-1177823.111111111</v>
      </c>
      <c r="AK24" s="56"/>
      <c r="AL24" s="55"/>
      <c r="AM24" s="62">
        <v>0</v>
      </c>
      <c r="AN24" s="56">
        <v>87699.353000000003</v>
      </c>
      <c r="AO24" s="55">
        <v>87699.353000000003</v>
      </c>
      <c r="AP24" s="66">
        <v>0</v>
      </c>
      <c r="AQ24" s="55"/>
      <c r="AR24" s="55"/>
      <c r="AS24" s="66">
        <v>0</v>
      </c>
      <c r="AT24" s="5"/>
    </row>
    <row r="25" spans="2:46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76"/>
      <c r="AF25" s="78"/>
      <c r="AG25" s="48" t="s">
        <v>59</v>
      </c>
      <c r="AH25" s="17">
        <v>219616398.24169999</v>
      </c>
      <c r="AI25" s="55">
        <v>79880595.6021</v>
      </c>
      <c r="AJ25" s="62">
        <v>-139735802.63959998</v>
      </c>
      <c r="AK25" s="56">
        <v>110450009.9904</v>
      </c>
      <c r="AL25" s="55">
        <v>73850009.990400001</v>
      </c>
      <c r="AM25" s="62">
        <v>-36600000</v>
      </c>
      <c r="AN25" s="56">
        <v>2108014.7457988197</v>
      </c>
      <c r="AO25" s="55">
        <v>2108014.7457988197</v>
      </c>
      <c r="AP25" s="66">
        <v>0</v>
      </c>
      <c r="AQ25" s="55"/>
      <c r="AR25" s="55"/>
      <c r="AS25" s="66">
        <v>0</v>
      </c>
      <c r="AT25" s="5"/>
    </row>
    <row r="26" spans="2:46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76"/>
      <c r="AF26" s="78"/>
      <c r="AG26" s="48" t="s">
        <v>6</v>
      </c>
      <c r="AH26" s="17">
        <v>6011485.6953000007</v>
      </c>
      <c r="AI26" s="55">
        <v>3799192.9001000002</v>
      </c>
      <c r="AJ26" s="62">
        <v>-2212292.7952000005</v>
      </c>
      <c r="AK26" s="56">
        <v>2480213.8673999999</v>
      </c>
      <c r="AL26" s="55">
        <v>2480213.8673999999</v>
      </c>
      <c r="AM26" s="62">
        <v>0</v>
      </c>
      <c r="AN26" s="56">
        <v>1048332.6381743378</v>
      </c>
      <c r="AO26" s="55">
        <v>1048332.6381743378</v>
      </c>
      <c r="AP26" s="66">
        <v>0</v>
      </c>
      <c r="AQ26" s="55"/>
      <c r="AR26" s="55"/>
      <c r="AS26" s="66">
        <v>0</v>
      </c>
      <c r="AT26" s="5"/>
    </row>
    <row r="27" spans="2:46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76"/>
      <c r="AF27" s="78"/>
      <c r="AG27" s="48" t="s">
        <v>60</v>
      </c>
      <c r="AH27" s="17">
        <v>494492.99232453411</v>
      </c>
      <c r="AI27" s="55">
        <v>566407.45550537505</v>
      </c>
      <c r="AJ27" s="62">
        <v>71914.463180840947</v>
      </c>
      <c r="AK27" s="56"/>
      <c r="AL27" s="55"/>
      <c r="AM27" s="62">
        <v>0</v>
      </c>
      <c r="AN27" s="56">
        <v>1746149.4187000003</v>
      </c>
      <c r="AO27" s="55">
        <v>1746149.4187000003</v>
      </c>
      <c r="AP27" s="66">
        <v>0</v>
      </c>
      <c r="AQ27" s="55"/>
      <c r="AR27" s="55"/>
      <c r="AS27" s="66">
        <v>0</v>
      </c>
      <c r="AT27" s="5"/>
    </row>
    <row r="28" spans="2:46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76"/>
      <c r="AF28" s="78"/>
      <c r="AG28" s="48" t="s">
        <v>5</v>
      </c>
      <c r="AH28" s="17">
        <v>16618784.2338</v>
      </c>
      <c r="AI28" s="55">
        <v>9502905.2595999986</v>
      </c>
      <c r="AJ28" s="62">
        <v>-7115878.974200001</v>
      </c>
      <c r="AK28" s="56">
        <v>4951248.3161999993</v>
      </c>
      <c r="AL28" s="55">
        <v>4951248.3161999993</v>
      </c>
      <c r="AM28" s="62">
        <v>0</v>
      </c>
      <c r="AN28" s="56">
        <v>3167369.2119666669</v>
      </c>
      <c r="AO28" s="55">
        <v>3167369.2119666669</v>
      </c>
      <c r="AP28" s="66">
        <v>0</v>
      </c>
      <c r="AQ28" s="55"/>
      <c r="AR28" s="55"/>
      <c r="AS28" s="66">
        <v>0</v>
      </c>
      <c r="AT28" s="5"/>
    </row>
    <row r="29" spans="2:46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76"/>
      <c r="AF29" s="79"/>
      <c r="AG29" s="48" t="s">
        <v>4</v>
      </c>
      <c r="AH29" s="14"/>
      <c r="AI29" s="57"/>
      <c r="AJ29" s="63">
        <v>0</v>
      </c>
      <c r="AK29" s="58">
        <v>303298.61290000001</v>
      </c>
      <c r="AL29" s="57">
        <v>303298.61290000001</v>
      </c>
      <c r="AM29" s="63">
        <v>0</v>
      </c>
      <c r="AN29" s="58">
        <v>76635.627906976748</v>
      </c>
      <c r="AO29" s="57">
        <v>76635.627906976748</v>
      </c>
      <c r="AP29" s="67">
        <v>0</v>
      </c>
      <c r="AQ29" s="57"/>
      <c r="AR29" s="57"/>
      <c r="AS29" s="67">
        <v>0</v>
      </c>
      <c r="AT29" s="5"/>
    </row>
    <row r="30" spans="2:46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77" t="s">
        <v>0</v>
      </c>
      <c r="AF30" s="16" t="s">
        <v>53</v>
      </c>
      <c r="AG30" s="47" t="s">
        <v>3</v>
      </c>
      <c r="AH30" s="15">
        <v>19545722.229046669</v>
      </c>
      <c r="AI30" s="53">
        <v>10014459.297692308</v>
      </c>
      <c r="AJ30" s="61">
        <v>-9531262.9313543607</v>
      </c>
      <c r="AK30" s="54">
        <v>6523692.2847317951</v>
      </c>
      <c r="AL30" s="53">
        <v>910346.97564088623</v>
      </c>
      <c r="AM30" s="61">
        <v>-5613345.3090909086</v>
      </c>
      <c r="AN30" s="54">
        <v>33426762.450980395</v>
      </c>
      <c r="AO30" s="53">
        <v>33426762.450980395</v>
      </c>
      <c r="AP30" s="65">
        <v>0</v>
      </c>
      <c r="AQ30" s="53"/>
      <c r="AR30" s="53"/>
      <c r="AS30" s="65">
        <v>0</v>
      </c>
      <c r="AT30" s="5"/>
    </row>
    <row r="31" spans="2:46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78"/>
      <c r="AF31" s="77" t="s">
        <v>54</v>
      </c>
      <c r="AG31" s="47" t="s">
        <v>3</v>
      </c>
      <c r="AH31" s="15">
        <v>88552711.387919366</v>
      </c>
      <c r="AI31" s="53">
        <v>60636644.280384615</v>
      </c>
      <c r="AJ31" s="61">
        <v>-27916067.107534751</v>
      </c>
      <c r="AK31" s="54">
        <v>262975904.32782677</v>
      </c>
      <c r="AL31" s="53">
        <v>264567317.31695724</v>
      </c>
      <c r="AM31" s="61">
        <v>1591412.9891304672</v>
      </c>
      <c r="AN31" s="54">
        <v>114755187.91712537</v>
      </c>
      <c r="AO31" s="53">
        <v>114755187.91712537</v>
      </c>
      <c r="AP31" s="65">
        <v>0</v>
      </c>
      <c r="AQ31" s="53">
        <v>51914000</v>
      </c>
      <c r="AR31" s="53">
        <v>51914000</v>
      </c>
      <c r="AS31" s="65">
        <v>0</v>
      </c>
      <c r="AT31" s="5"/>
    </row>
    <row r="32" spans="2:46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79"/>
      <c r="AF32" s="79"/>
      <c r="AG32" s="49" t="s">
        <v>2</v>
      </c>
      <c r="AH32" s="14"/>
      <c r="AI32" s="57"/>
      <c r="AJ32" s="63">
        <v>0</v>
      </c>
      <c r="AK32" s="58"/>
      <c r="AL32" s="57"/>
      <c r="AM32" s="63">
        <v>0</v>
      </c>
      <c r="AN32" s="58">
        <v>36871497.695152104</v>
      </c>
      <c r="AO32" s="57">
        <v>36871497.695152104</v>
      </c>
      <c r="AP32" s="67">
        <v>0</v>
      </c>
      <c r="AQ32" s="57">
        <v>131610000</v>
      </c>
      <c r="AR32" s="57">
        <v>131610000</v>
      </c>
      <c r="AS32" s="67">
        <v>0</v>
      </c>
      <c r="AT32" s="5"/>
    </row>
    <row r="33" spans="2:46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80" t="s">
        <v>1</v>
      </c>
      <c r="AF33" s="81"/>
      <c r="AG33" s="81"/>
      <c r="AH33" s="13">
        <v>422652886.07351357</v>
      </c>
      <c r="AI33" s="59">
        <v>193622594.56297779</v>
      </c>
      <c r="AJ33" s="64">
        <v>-229030291.51053578</v>
      </c>
      <c r="AK33" s="60">
        <v>689761506.46339428</v>
      </c>
      <c r="AL33" s="59">
        <v>642298237.47623396</v>
      </c>
      <c r="AM33" s="64">
        <v>-47463268.987160325</v>
      </c>
      <c r="AN33" s="60">
        <v>255560586.84610829</v>
      </c>
      <c r="AO33" s="59">
        <v>255560586.84610829</v>
      </c>
      <c r="AP33" s="68">
        <v>0</v>
      </c>
      <c r="AQ33" s="59">
        <v>183524000</v>
      </c>
      <c r="AR33" s="59">
        <v>183524000</v>
      </c>
      <c r="AS33" s="68">
        <v>0</v>
      </c>
      <c r="AT33" s="5"/>
    </row>
    <row r="34" spans="2:46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12" t="s">
        <v>0</v>
      </c>
      <c r="T34" s="11"/>
      <c r="U34" s="11"/>
      <c r="V34" s="11"/>
      <c r="W34" s="11"/>
      <c r="X34" s="11"/>
      <c r="Y34" s="11"/>
      <c r="Z34" s="11"/>
      <c r="AA34" s="11"/>
      <c r="AB34" s="5"/>
      <c r="AC34" s="5"/>
      <c r="AD34" s="5"/>
      <c r="AE34" s="10"/>
      <c r="AF34" s="10"/>
      <c r="AG34" s="9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2:46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10"/>
      <c r="AF35" s="10"/>
      <c r="AG35" s="9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2:46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10"/>
      <c r="AF36" s="10"/>
      <c r="AG36" s="9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2:46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10"/>
      <c r="AF37" s="10"/>
      <c r="AG37" s="9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2:46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10"/>
      <c r="AF38" s="10"/>
      <c r="AG38" s="9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spans="2:46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10"/>
      <c r="AF39" s="10"/>
      <c r="AG39" s="9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spans="2:46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8"/>
      <c r="AF40" s="8"/>
      <c r="AG40" s="7"/>
      <c r="AH40" s="6"/>
      <c r="AI40" s="6"/>
      <c r="AJ40" s="6"/>
      <c r="AK40" s="6"/>
      <c r="AL40" s="5"/>
      <c r="AM40" s="5"/>
      <c r="AN40" s="5"/>
      <c r="AO40" s="5"/>
      <c r="AP40" s="5"/>
      <c r="AQ40" s="5"/>
      <c r="AR40" s="5"/>
      <c r="AS40" s="5"/>
      <c r="AT40" s="5"/>
    </row>
  </sheetData>
  <sheetProtection password="C7C6" sheet="1" scenarios="1" formatCells="0" formatColumns="0" formatRows="0"/>
  <mergeCells count="11">
    <mergeCell ref="AN9:AP9"/>
    <mergeCell ref="AQ9:AS9"/>
    <mergeCell ref="AE11:AE29"/>
    <mergeCell ref="AE30:AE32"/>
    <mergeCell ref="AE33:AG33"/>
    <mergeCell ref="AF11:AF15"/>
    <mergeCell ref="AF16:AF21"/>
    <mergeCell ref="AF22:AF29"/>
    <mergeCell ref="AF31:AF32"/>
    <mergeCell ref="AH9:AJ9"/>
    <mergeCell ref="AK9:AM9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T182"/>
  <sheetViews>
    <sheetView showGridLines="0" topLeftCell="A109" zoomScale="80" zoomScaleNormal="80" workbookViewId="0">
      <selection activeCell="C163" sqref="C163:D175"/>
    </sheetView>
  </sheetViews>
  <sheetFormatPr defaultRowHeight="15" x14ac:dyDescent="0.25"/>
  <cols>
    <col min="1" max="1" width="18" customWidth="1"/>
    <col min="2" max="2" width="13.85546875" customWidth="1"/>
    <col min="3" max="3" width="15.28515625" customWidth="1"/>
    <col min="4" max="4" width="21.140625" customWidth="1"/>
    <col min="5" max="5" width="27" customWidth="1"/>
    <col min="6" max="6" width="21.42578125" customWidth="1"/>
    <col min="7" max="7" width="17.7109375" customWidth="1"/>
    <col min="8" max="8" width="16.42578125" customWidth="1"/>
    <col min="9" max="9" width="12.85546875" customWidth="1"/>
    <col min="10" max="10" width="9.5703125" customWidth="1"/>
    <col min="11" max="11" width="12.7109375" customWidth="1"/>
    <col min="12" max="12" width="12.7109375" bestFit="1" customWidth="1"/>
    <col min="13" max="13" width="12.85546875" customWidth="1"/>
  </cols>
  <sheetData>
    <row r="2" spans="1:9" x14ac:dyDescent="0.25">
      <c r="A2" s="44" t="s">
        <v>52</v>
      </c>
      <c r="B2" s="43"/>
      <c r="C2" s="43"/>
      <c r="D2" s="43"/>
      <c r="E2" s="43"/>
      <c r="F2" s="43"/>
      <c r="G2" s="43"/>
      <c r="H2" s="43"/>
      <c r="I2" s="43"/>
    </row>
    <row r="4" spans="1:9" x14ac:dyDescent="0.25">
      <c r="A4" s="26" t="s">
        <v>27</v>
      </c>
      <c r="B4" s="28">
        <v>2022</v>
      </c>
    </row>
    <row r="5" spans="1:9" x14ac:dyDescent="0.25">
      <c r="A5" s="26" t="s">
        <v>38</v>
      </c>
      <c r="B5" t="s">
        <v>37</v>
      </c>
    </row>
    <row r="6" spans="1:9" x14ac:dyDescent="0.25">
      <c r="A6" s="26" t="s">
        <v>24</v>
      </c>
      <c r="B6" t="s">
        <v>23</v>
      </c>
    </row>
    <row r="7" spans="1:9" x14ac:dyDescent="0.25">
      <c r="A7" s="26" t="s">
        <v>26</v>
      </c>
      <c r="B7" t="s">
        <v>25</v>
      </c>
    </row>
    <row r="8" spans="1:9" x14ac:dyDescent="0.25">
      <c r="A8" s="26" t="s">
        <v>16</v>
      </c>
      <c r="B8" t="s">
        <v>37</v>
      </c>
    </row>
    <row r="10" spans="1:9" x14ac:dyDescent="0.25">
      <c r="A10" s="26" t="s">
        <v>51</v>
      </c>
      <c r="B10" t="s">
        <v>13</v>
      </c>
      <c r="C10" t="s">
        <v>12</v>
      </c>
      <c r="D10" t="s">
        <v>11</v>
      </c>
    </row>
    <row r="11" spans="1:9" x14ac:dyDescent="0.25">
      <c r="A11" s="28" t="s">
        <v>53</v>
      </c>
      <c r="B11" s="35">
        <v>59496176.964758851</v>
      </c>
      <c r="C11" s="35">
        <v>44351568.724313587</v>
      </c>
      <c r="D11" s="35">
        <v>-15144608.240445264</v>
      </c>
    </row>
    <row r="12" spans="1:9" x14ac:dyDescent="0.25">
      <c r="A12" s="28" t="s">
        <v>54</v>
      </c>
      <c r="B12" s="35">
        <v>971874646.28091002</v>
      </c>
      <c r="C12" s="35">
        <v>932209304.52192402</v>
      </c>
      <c r="D12" s="35">
        <v>-39665341.758985996</v>
      </c>
    </row>
    <row r="13" spans="1:9" x14ac:dyDescent="0.25">
      <c r="A13" s="28" t="s">
        <v>55</v>
      </c>
      <c r="B13" s="35">
        <v>41051733.843244433</v>
      </c>
      <c r="C13" s="35">
        <v>40049882.991776012</v>
      </c>
      <c r="D13" s="35">
        <v>-1001850.8514684215</v>
      </c>
    </row>
    <row r="14" spans="1:9" x14ac:dyDescent="0.25">
      <c r="A14" s="28" t="s">
        <v>56</v>
      </c>
      <c r="B14" s="35">
        <v>479076422.29410255</v>
      </c>
      <c r="C14" s="35">
        <v>258394662.64730632</v>
      </c>
      <c r="D14" s="35">
        <v>-220681759.64679623</v>
      </c>
    </row>
    <row r="19" spans="1:16" x14ac:dyDescent="0.25">
      <c r="A19" s="28"/>
      <c r="B19" s="35"/>
      <c r="C19" s="35"/>
      <c r="D19" s="35"/>
    </row>
    <row r="21" spans="1:16" x14ac:dyDescent="0.25">
      <c r="A21" s="33" t="s">
        <v>50</v>
      </c>
      <c r="B21" s="33" t="s">
        <v>49</v>
      </c>
      <c r="C21" s="33" t="s">
        <v>48</v>
      </c>
      <c r="D21" s="33" t="s">
        <v>47</v>
      </c>
      <c r="E21" s="33" t="s">
        <v>46</v>
      </c>
      <c r="F21" s="33" t="s">
        <v>45</v>
      </c>
      <c r="G21" s="33" t="s">
        <v>44</v>
      </c>
      <c r="H21" s="33" t="s">
        <v>43</v>
      </c>
      <c r="I21" s="33" t="s">
        <v>42</v>
      </c>
    </row>
    <row r="22" spans="1:16" x14ac:dyDescent="0.25">
      <c r="A22" t="str">
        <f t="shared" ref="A22:C25" si="0">A11</f>
        <v>KN</v>
      </c>
      <c r="B22" s="35">
        <f t="shared" si="0"/>
        <v>59496176.964758851</v>
      </c>
      <c r="C22" s="35">
        <f t="shared" si="0"/>
        <v>44351568.724313587</v>
      </c>
      <c r="D22" s="35">
        <f>MAX(B22:C22)</f>
        <v>59496176.964758851</v>
      </c>
      <c r="E22" s="35">
        <f>D22</f>
        <v>59496176.964758851</v>
      </c>
      <c r="F22" s="35" t="e">
        <f>IF(C22&gt;B22,C22-B22,NA())</f>
        <v>#N/A</v>
      </c>
      <c r="G22" s="35">
        <f>IF(C22&lt;B22,B22-C22,NA())</f>
        <v>15144608.240445264</v>
      </c>
      <c r="H22" s="35" t="str">
        <f>IF(ISERROR(F22),"","+" &amp; TEXT(F6/B22,"0%"))</f>
        <v/>
      </c>
      <c r="I22" s="35" t="str">
        <f>IF(ISERROR(G22),"","-"&amp;TEXT(G22/B22,"0%"))</f>
        <v>-25%</v>
      </c>
      <c r="J22" s="35"/>
      <c r="K22" s="35"/>
      <c r="L22" s="35"/>
      <c r="M22" s="35"/>
      <c r="N22" s="35"/>
      <c r="O22" s="35"/>
      <c r="P22" s="35"/>
    </row>
    <row r="23" spans="1:16" x14ac:dyDescent="0.25">
      <c r="A23" t="str">
        <f t="shared" si="0"/>
        <v>TP</v>
      </c>
      <c r="B23" s="35">
        <f t="shared" si="0"/>
        <v>971874646.28091002</v>
      </c>
      <c r="C23" s="35">
        <f t="shared" si="0"/>
        <v>932209304.52192402</v>
      </c>
      <c r="D23" s="35">
        <f>MAX(B23:C23)</f>
        <v>971874646.28091002</v>
      </c>
      <c r="E23" s="35">
        <f>D23</f>
        <v>971874646.28091002</v>
      </c>
      <c r="F23" s="35" t="e">
        <f>IF(C23&gt;B23,C23-B23,NA())</f>
        <v>#N/A</v>
      </c>
      <c r="G23" s="35">
        <f>IF(C23&lt;B23,B23-C23,NA())</f>
        <v>39665341.758985996</v>
      </c>
      <c r="H23" s="35" t="str">
        <f>IF(ISERROR(F23),"","+" &amp; TEXT(F7/B23,"0%"))</f>
        <v/>
      </c>
      <c r="I23" s="35" t="str">
        <f>IF(ISERROR(G23),"","-"&amp;TEXT(G23/B23,"0%"))</f>
        <v>-4%</v>
      </c>
      <c r="J23" s="35"/>
      <c r="K23" s="35"/>
      <c r="L23" s="35"/>
      <c r="M23" s="35"/>
      <c r="N23" s="35"/>
      <c r="O23" s="35"/>
      <c r="P23" s="35"/>
    </row>
    <row r="24" spans="1:16" x14ac:dyDescent="0.25">
      <c r="A24" t="str">
        <f t="shared" si="0"/>
        <v>HY</v>
      </c>
      <c r="B24" s="35">
        <f t="shared" si="0"/>
        <v>41051733.843244433</v>
      </c>
      <c r="C24" s="35">
        <f t="shared" si="0"/>
        <v>40049882.991776012</v>
      </c>
      <c r="D24" s="35">
        <f>MAX(B24:C24)</f>
        <v>41051733.843244433</v>
      </c>
      <c r="E24" s="35">
        <f>D24</f>
        <v>41051733.843244433</v>
      </c>
      <c r="F24" s="35" t="e">
        <f>IF(C24&gt;B24,C24-B24,NA())</f>
        <v>#N/A</v>
      </c>
      <c r="G24" s="35">
        <f>IF(C24&lt;B24,B24-C24,NA())</f>
        <v>1001850.8514684215</v>
      </c>
      <c r="H24" s="35" t="str">
        <f>IF(ISERROR(F24),"","+" &amp; TEXT(F8/B24,"0%"))</f>
        <v/>
      </c>
      <c r="I24" s="35" t="str">
        <f>IF(ISERROR(G24),"","-"&amp;TEXT(G24/B24,"0%"))</f>
        <v>-2%</v>
      </c>
      <c r="J24" s="35"/>
      <c r="K24" s="35"/>
      <c r="L24" s="35"/>
      <c r="M24" s="35"/>
      <c r="N24" s="35"/>
      <c r="O24" s="35"/>
      <c r="P24" s="35"/>
    </row>
    <row r="25" spans="1:16" x14ac:dyDescent="0.25">
      <c r="A25" t="str">
        <f t="shared" si="0"/>
        <v>TT</v>
      </c>
      <c r="B25" s="35">
        <f t="shared" si="0"/>
        <v>479076422.29410255</v>
      </c>
      <c r="C25" s="35">
        <f t="shared" si="0"/>
        <v>258394662.64730632</v>
      </c>
      <c r="D25" s="35">
        <f>MAX(B25:C25)</f>
        <v>479076422.29410255</v>
      </c>
      <c r="E25" s="35">
        <f>D25</f>
        <v>479076422.29410255</v>
      </c>
      <c r="F25" s="35" t="e">
        <f>IF(C25&gt;B25,C25-B25,NA())</f>
        <v>#N/A</v>
      </c>
      <c r="G25" s="35">
        <f>IF(C25&lt;B25,B25-C25,NA())</f>
        <v>220681759.64679623</v>
      </c>
      <c r="H25" s="35" t="str">
        <f>IF(ISERROR(F25),"","+" &amp; TEXT(F9/B25,"0%"))</f>
        <v/>
      </c>
      <c r="I25" s="35" t="str">
        <f>IF(ISERROR(G25),"","-"&amp;TEXT(G25/B25,"0%"))</f>
        <v>-46%</v>
      </c>
      <c r="J25" s="35"/>
      <c r="K25" s="35"/>
      <c r="L25" s="35"/>
      <c r="M25" s="35"/>
      <c r="N25" s="35"/>
      <c r="O25" s="35"/>
      <c r="P25" s="35"/>
    </row>
    <row r="26" spans="1:16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  <row r="27" spans="1:16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 spans="1:16" x14ac:dyDescent="0.25">
      <c r="B28" s="35"/>
      <c r="C28" s="35"/>
      <c r="D28" s="35"/>
      <c r="E28" s="35"/>
      <c r="F28" s="35"/>
      <c r="G28" s="35"/>
      <c r="H28" s="35"/>
      <c r="I28" s="35"/>
    </row>
    <row r="29" spans="1:16" x14ac:dyDescent="0.25">
      <c r="B29" s="35"/>
      <c r="C29" s="35"/>
      <c r="D29" s="35"/>
      <c r="E29" s="35"/>
      <c r="F29" s="35"/>
      <c r="G29" s="35"/>
      <c r="H29" s="35"/>
      <c r="I29" s="35"/>
    </row>
    <row r="31" spans="1:16" x14ac:dyDescent="0.25">
      <c r="A31" s="26" t="s">
        <v>27</v>
      </c>
      <c r="B31" s="28">
        <v>2022</v>
      </c>
    </row>
    <row r="32" spans="1:16" x14ac:dyDescent="0.25">
      <c r="A32" s="26" t="s">
        <v>38</v>
      </c>
      <c r="B32" t="s">
        <v>37</v>
      </c>
      <c r="J32" s="46" t="s">
        <v>10</v>
      </c>
    </row>
    <row r="33" spans="1:9" x14ac:dyDescent="0.25">
      <c r="A33" s="26" t="s">
        <v>24</v>
      </c>
      <c r="B33" t="s">
        <v>23</v>
      </c>
    </row>
    <row r="34" spans="1:9" x14ac:dyDescent="0.25">
      <c r="A34" s="26" t="s">
        <v>26</v>
      </c>
      <c r="B34" t="s">
        <v>25</v>
      </c>
    </row>
    <row r="35" spans="1:9" x14ac:dyDescent="0.25">
      <c r="A35" s="26" t="s">
        <v>16</v>
      </c>
      <c r="B35" t="s">
        <v>10</v>
      </c>
    </row>
    <row r="37" spans="1:9" x14ac:dyDescent="0.25">
      <c r="A37" s="26" t="s">
        <v>51</v>
      </c>
      <c r="B37" t="s">
        <v>13</v>
      </c>
      <c r="C37" t="s">
        <v>12</v>
      </c>
      <c r="D37" t="s">
        <v>11</v>
      </c>
    </row>
    <row r="38" spans="1:9" x14ac:dyDescent="0.25">
      <c r="A38" s="28" t="s">
        <v>54</v>
      </c>
      <c r="B38" s="35">
        <v>285195344.95288658</v>
      </c>
      <c r="C38" s="35">
        <v>271854657.31230479</v>
      </c>
      <c r="D38" s="35">
        <v>-13340687.640581787</v>
      </c>
    </row>
    <row r="39" spans="1:9" x14ac:dyDescent="0.25">
      <c r="A39" s="28" t="s">
        <v>55</v>
      </c>
      <c r="B39" s="35">
        <v>41051733.843244433</v>
      </c>
      <c r="C39" s="35">
        <v>40049882.991776012</v>
      </c>
      <c r="D39" s="35">
        <v>-1001850.8514684215</v>
      </c>
    </row>
    <row r="40" spans="1:9" x14ac:dyDescent="0.25">
      <c r="A40" s="28" t="s">
        <v>56</v>
      </c>
      <c r="B40" s="35">
        <v>479076422.29410255</v>
      </c>
      <c r="C40" s="35">
        <v>258394662.64730632</v>
      </c>
      <c r="D40" s="35">
        <v>-220681759.64679623</v>
      </c>
    </row>
    <row r="46" spans="1:9" x14ac:dyDescent="0.25">
      <c r="A46" s="28"/>
      <c r="B46" s="35"/>
      <c r="C46" s="35"/>
      <c r="D46" s="35"/>
    </row>
    <row r="48" spans="1:9" x14ac:dyDescent="0.25">
      <c r="A48" s="33" t="s">
        <v>50</v>
      </c>
      <c r="B48" s="33" t="s">
        <v>49</v>
      </c>
      <c r="C48" s="33" t="s">
        <v>48</v>
      </c>
      <c r="D48" s="33" t="s">
        <v>47</v>
      </c>
      <c r="E48" s="33" t="s">
        <v>46</v>
      </c>
      <c r="F48" s="33" t="s">
        <v>45</v>
      </c>
      <c r="G48" s="33" t="s">
        <v>44</v>
      </c>
      <c r="H48" s="33" t="s">
        <v>43</v>
      </c>
      <c r="I48" s="33" t="s">
        <v>42</v>
      </c>
    </row>
    <row r="49" spans="1:16" x14ac:dyDescent="0.25">
      <c r="A49" t="str">
        <f t="shared" ref="A49:C51" si="1">A38</f>
        <v>TP</v>
      </c>
      <c r="B49" s="35">
        <f t="shared" si="1"/>
        <v>285195344.95288658</v>
      </c>
      <c r="C49" s="35">
        <f t="shared" si="1"/>
        <v>271854657.31230479</v>
      </c>
      <c r="D49" s="35">
        <f>MAX(B49:C49)</f>
        <v>285195344.95288658</v>
      </c>
      <c r="E49" s="35">
        <f>D49</f>
        <v>285195344.95288658</v>
      </c>
      <c r="F49" s="35" t="e">
        <f>IF(C49&gt;B49,C49-B49,NA())</f>
        <v>#N/A</v>
      </c>
      <c r="G49" s="35">
        <f>IF(C49&lt;B49,B49-C49,NA())</f>
        <v>13340687.640581787</v>
      </c>
      <c r="H49" s="35" t="str">
        <f>IF(ISERROR(F49),"","+" &amp; TEXT(F33/B49,"0%"))</f>
        <v/>
      </c>
      <c r="I49" s="35" t="str">
        <f>IF(ISERROR(G49),"","-"&amp;TEXT(G49/B49,"0%"))</f>
        <v>-5%</v>
      </c>
      <c r="J49" s="35"/>
      <c r="K49" s="35"/>
      <c r="L49" s="35"/>
      <c r="M49" s="35"/>
      <c r="N49" s="35"/>
      <c r="O49" s="35"/>
      <c r="P49" s="35"/>
    </row>
    <row r="50" spans="1:16" x14ac:dyDescent="0.25">
      <c r="A50" t="str">
        <f t="shared" si="1"/>
        <v>HY</v>
      </c>
      <c r="B50" s="35">
        <f t="shared" si="1"/>
        <v>41051733.843244433</v>
      </c>
      <c r="C50" s="35">
        <f t="shared" si="1"/>
        <v>40049882.991776012</v>
      </c>
      <c r="D50" s="35">
        <f>MAX(B50:C50)</f>
        <v>41051733.843244433</v>
      </c>
      <c r="E50" s="35">
        <f>D50</f>
        <v>41051733.843244433</v>
      </c>
      <c r="F50" s="35" t="e">
        <f>IF(C50&gt;B50,C50-B50,NA())</f>
        <v>#N/A</v>
      </c>
      <c r="G50" s="35">
        <f>IF(C50&lt;B50,B50-C50,NA())</f>
        <v>1001850.8514684215</v>
      </c>
      <c r="H50" s="35" t="str">
        <f>IF(ISERROR(F50),"","+" &amp; TEXT(F34/B50,"0%"))</f>
        <v/>
      </c>
      <c r="I50" s="35" t="str">
        <f>IF(ISERROR(G50),"","-"&amp;TEXT(G50/B50,"0%"))</f>
        <v>-2%</v>
      </c>
      <c r="J50" s="35"/>
      <c r="K50" s="35"/>
      <c r="L50" s="35"/>
      <c r="M50" s="35"/>
      <c r="N50" s="35"/>
      <c r="O50" s="35"/>
      <c r="P50" s="35"/>
    </row>
    <row r="51" spans="1:16" x14ac:dyDescent="0.25">
      <c r="A51" t="str">
        <f t="shared" si="1"/>
        <v>TT</v>
      </c>
      <c r="B51" s="35">
        <f t="shared" si="1"/>
        <v>479076422.29410255</v>
      </c>
      <c r="C51" s="35">
        <f t="shared" si="1"/>
        <v>258394662.64730632</v>
      </c>
      <c r="D51" s="35">
        <f>MAX(B51:C51)</f>
        <v>479076422.29410255</v>
      </c>
      <c r="E51" s="35">
        <f>D51</f>
        <v>479076422.29410255</v>
      </c>
      <c r="F51" s="35" t="e">
        <f>IF(C51&gt;B51,C51-B51,NA())</f>
        <v>#N/A</v>
      </c>
      <c r="G51" s="35">
        <f>IF(C51&lt;B51,B51-C51,NA())</f>
        <v>220681759.64679623</v>
      </c>
      <c r="H51" s="35" t="str">
        <f>IF(ISERROR(F51),"","+" &amp; TEXT(F35/B51,"0%"))</f>
        <v/>
      </c>
      <c r="I51" s="35" t="str">
        <f>IF(ISERROR(G51),"","-"&amp;TEXT(G51/B51,"0%"))</f>
        <v>-46%</v>
      </c>
      <c r="J51" s="35"/>
      <c r="K51" s="35"/>
      <c r="L51" s="35"/>
      <c r="M51" s="35"/>
      <c r="N51" s="35"/>
      <c r="O51" s="35"/>
      <c r="P51" s="35"/>
    </row>
    <row r="52" spans="1:16" x14ac:dyDescent="0.25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8" spans="1:16" x14ac:dyDescent="0.25">
      <c r="A58" s="26" t="s">
        <v>27</v>
      </c>
      <c r="B58" s="28">
        <v>2022</v>
      </c>
    </row>
    <row r="59" spans="1:16" x14ac:dyDescent="0.25">
      <c r="A59" s="26" t="s">
        <v>38</v>
      </c>
      <c r="B59" t="s">
        <v>37</v>
      </c>
      <c r="J59" s="45" t="s">
        <v>0</v>
      </c>
    </row>
    <row r="60" spans="1:16" x14ac:dyDescent="0.25">
      <c r="A60" s="26" t="s">
        <v>24</v>
      </c>
      <c r="B60" t="s">
        <v>23</v>
      </c>
    </row>
    <row r="61" spans="1:16" x14ac:dyDescent="0.25">
      <c r="A61" s="26" t="s">
        <v>26</v>
      </c>
      <c r="B61" t="s">
        <v>25</v>
      </c>
    </row>
    <row r="62" spans="1:16" x14ac:dyDescent="0.25">
      <c r="A62" s="26" t="s">
        <v>16</v>
      </c>
      <c r="B62" t="s">
        <v>0</v>
      </c>
    </row>
    <row r="64" spans="1:16" x14ac:dyDescent="0.25">
      <c r="A64" s="26" t="s">
        <v>51</v>
      </c>
      <c r="B64" t="s">
        <v>13</v>
      </c>
      <c r="C64" t="s">
        <v>12</v>
      </c>
      <c r="D64" t="s">
        <v>11</v>
      </c>
    </row>
    <row r="65" spans="1:16" x14ac:dyDescent="0.25">
      <c r="A65" s="28" t="s">
        <v>53</v>
      </c>
      <c r="B65" s="35">
        <v>59496176.964758851</v>
      </c>
      <c r="C65" s="35">
        <v>44351568.724313587</v>
      </c>
      <c r="D65" s="35">
        <v>-15144608.240445264</v>
      </c>
    </row>
    <row r="66" spans="1:16" x14ac:dyDescent="0.25">
      <c r="A66" s="28" t="s">
        <v>54</v>
      </c>
      <c r="B66" s="35">
        <v>686679301.32802355</v>
      </c>
      <c r="C66" s="35">
        <v>660354647.20961928</v>
      </c>
      <c r="D66" s="35">
        <v>-26324654.118404269</v>
      </c>
    </row>
    <row r="73" spans="1:16" x14ac:dyDescent="0.25">
      <c r="A73" s="28"/>
      <c r="B73" s="35"/>
      <c r="C73" s="35"/>
      <c r="D73" s="35"/>
    </row>
    <row r="75" spans="1:16" x14ac:dyDescent="0.25">
      <c r="A75" s="33" t="s">
        <v>50</v>
      </c>
      <c r="B75" s="33" t="s">
        <v>49</v>
      </c>
      <c r="C75" s="33" t="s">
        <v>48</v>
      </c>
      <c r="D75" s="33" t="s">
        <v>47</v>
      </c>
      <c r="E75" s="33" t="s">
        <v>46</v>
      </c>
      <c r="F75" s="33" t="s">
        <v>45</v>
      </c>
      <c r="G75" s="33" t="s">
        <v>44</v>
      </c>
      <c r="H75" s="33" t="s">
        <v>43</v>
      </c>
      <c r="I75" s="33" t="s">
        <v>42</v>
      </c>
    </row>
    <row r="76" spans="1:16" x14ac:dyDescent="0.25">
      <c r="A76" t="str">
        <f t="shared" ref="A76:C77" si="2">A65</f>
        <v>KN</v>
      </c>
      <c r="B76" s="35">
        <f t="shared" si="2"/>
        <v>59496176.964758851</v>
      </c>
      <c r="C76" s="35">
        <f t="shared" si="2"/>
        <v>44351568.724313587</v>
      </c>
      <c r="D76" s="35">
        <f>MAX(B76:C76)</f>
        <v>59496176.964758851</v>
      </c>
      <c r="E76" s="35">
        <f>D76</f>
        <v>59496176.964758851</v>
      </c>
      <c r="F76" s="35" t="e">
        <f>IF(C76&gt;B76,C76-B76,NA())</f>
        <v>#N/A</v>
      </c>
      <c r="G76" s="35">
        <f>IF(C76&lt;B76,B76-C76,NA())</f>
        <v>15144608.240445264</v>
      </c>
      <c r="H76" s="35" t="str">
        <f>IF(ISERROR(F76),"","+" &amp; TEXT(F60/B76,"0%"))</f>
        <v/>
      </c>
      <c r="I76" s="35" t="str">
        <f>IF(ISERROR(G76),"","-"&amp;TEXT(G76/B76,"0%"))</f>
        <v>-25%</v>
      </c>
      <c r="J76" s="35"/>
      <c r="K76" s="35"/>
      <c r="L76" s="35"/>
      <c r="M76" s="35"/>
      <c r="N76" s="35"/>
      <c r="O76" s="35"/>
      <c r="P76" s="35"/>
    </row>
    <row r="77" spans="1:16" x14ac:dyDescent="0.25">
      <c r="A77" t="str">
        <f t="shared" si="2"/>
        <v>TP</v>
      </c>
      <c r="B77" s="35">
        <f t="shared" si="2"/>
        <v>686679301.32802355</v>
      </c>
      <c r="C77" s="35">
        <f t="shared" si="2"/>
        <v>660354647.20961928</v>
      </c>
      <c r="D77" s="35">
        <f>MAX(B77:C77)</f>
        <v>686679301.32802355</v>
      </c>
      <c r="E77" s="35">
        <f>D77</f>
        <v>686679301.32802355</v>
      </c>
      <c r="F77" s="35" t="e">
        <f>IF(C77&gt;B77,C77-B77,NA())</f>
        <v>#N/A</v>
      </c>
      <c r="G77" s="35">
        <f>IF(C77&lt;B77,B77-C77,NA())</f>
        <v>26324654.118404269</v>
      </c>
      <c r="H77" s="35" t="str">
        <f>IF(ISERROR(F77),"","+" &amp; TEXT(F61/B77,"0%"))</f>
        <v/>
      </c>
      <c r="I77" s="35" t="str">
        <f>IF(ISERROR(G77),"","-"&amp;TEXT(G77/B77,"0%"))</f>
        <v>-4%</v>
      </c>
      <c r="J77" s="35"/>
      <c r="K77" s="35"/>
      <c r="L77" s="35"/>
      <c r="M77" s="35"/>
      <c r="N77" s="35"/>
      <c r="O77" s="35"/>
      <c r="P77" s="35"/>
    </row>
    <row r="78" spans="1:16" x14ac:dyDescent="0.25"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x14ac:dyDescent="0.25"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</row>
    <row r="83" spans="1:9" x14ac:dyDescent="0.25">
      <c r="A83" s="44" t="s">
        <v>41</v>
      </c>
      <c r="B83" s="43"/>
      <c r="C83" s="43"/>
      <c r="D83" s="43"/>
      <c r="E83" s="43"/>
      <c r="F83" s="43"/>
      <c r="G83" s="43"/>
      <c r="H83" s="43"/>
      <c r="I83" s="43"/>
    </row>
    <row r="86" spans="1:9" x14ac:dyDescent="0.25">
      <c r="A86" s="26" t="s">
        <v>27</v>
      </c>
      <c r="B86" s="28">
        <v>2022</v>
      </c>
    </row>
    <row r="87" spans="1:9" x14ac:dyDescent="0.25">
      <c r="A87" s="26" t="s">
        <v>38</v>
      </c>
      <c r="B87" t="s">
        <v>37</v>
      </c>
    </row>
    <row r="88" spans="1:9" x14ac:dyDescent="0.25">
      <c r="A88" s="26" t="s">
        <v>24</v>
      </c>
      <c r="B88" t="s">
        <v>23</v>
      </c>
    </row>
    <row r="89" spans="1:9" x14ac:dyDescent="0.25">
      <c r="A89" s="26" t="s">
        <v>26</v>
      </c>
      <c r="B89" t="s">
        <v>25</v>
      </c>
    </row>
    <row r="90" spans="1:9" x14ac:dyDescent="0.25">
      <c r="B90" s="32"/>
      <c r="C90" s="32"/>
    </row>
    <row r="91" spans="1:9" x14ac:dyDescent="0.25">
      <c r="A91" s="26" t="s">
        <v>36</v>
      </c>
      <c r="B91" s="26" t="s">
        <v>16</v>
      </c>
    </row>
    <row r="92" spans="1:9" x14ac:dyDescent="0.25">
      <c r="A92" s="26" t="s">
        <v>15</v>
      </c>
      <c r="B92" t="s">
        <v>10</v>
      </c>
      <c r="C92" t="s">
        <v>0</v>
      </c>
    </row>
    <row r="93" spans="1:9" x14ac:dyDescent="0.25">
      <c r="A93" t="s">
        <v>53</v>
      </c>
      <c r="B93" s="35"/>
      <c r="C93" s="35">
        <v>44351568.724313587</v>
      </c>
    </row>
    <row r="94" spans="1:9" x14ac:dyDescent="0.25">
      <c r="A94" t="s">
        <v>54</v>
      </c>
      <c r="B94" s="35">
        <v>271854657.31230479</v>
      </c>
      <c r="C94" s="35">
        <v>660354647.20961928</v>
      </c>
    </row>
    <row r="95" spans="1:9" x14ac:dyDescent="0.25">
      <c r="A95" t="s">
        <v>55</v>
      </c>
      <c r="B95" s="35">
        <v>40049882.991776012</v>
      </c>
      <c r="C95" s="35"/>
    </row>
    <row r="96" spans="1:9" x14ac:dyDescent="0.25">
      <c r="A96" t="s">
        <v>56</v>
      </c>
      <c r="B96" s="35">
        <v>258394662.64730632</v>
      </c>
      <c r="C96" s="35"/>
    </row>
    <row r="100" spans="1:15" x14ac:dyDescent="0.25">
      <c r="B100" s="32" t="s">
        <v>10</v>
      </c>
      <c r="C100" s="32" t="s">
        <v>0</v>
      </c>
      <c r="D100" s="32" t="s">
        <v>40</v>
      </c>
      <c r="E100" s="32" t="s">
        <v>32</v>
      </c>
      <c r="F100" s="32" t="s">
        <v>31</v>
      </c>
      <c r="I100" s="32" t="s">
        <v>10</v>
      </c>
      <c r="J100" s="32" t="s">
        <v>0</v>
      </c>
      <c r="K100" s="32"/>
      <c r="L100" s="33" t="s">
        <v>30</v>
      </c>
    </row>
    <row r="101" spans="1:15" x14ac:dyDescent="0.25">
      <c r="A101" s="32" t="str">
        <f>A93</f>
        <v>KN</v>
      </c>
      <c r="B101" s="35">
        <f>INDEX($B$93:$B$96,MATCH(A101,$A$93:$A$96,0))</f>
        <v>0</v>
      </c>
      <c r="C101" s="35">
        <f>INDEX($C$93:$C$96,MATCH(A101,$A$93:$A$96,0))</f>
        <v>44351568.724313587</v>
      </c>
      <c r="D101" s="30">
        <f>SUM($B101:$C101)/SUM($B$101:$C$104)</f>
        <v>3.4785396255874873E-2</v>
      </c>
      <c r="E101" t="str">
        <f>A101&amp;CHAR(10)&amp;"("&amp;TEXT(D101,"0%")&amp;")"</f>
        <v>KN
(3%)</v>
      </c>
      <c r="F101" s="34">
        <f>D101/2</f>
        <v>1.7392698127937437E-2</v>
      </c>
      <c r="H101">
        <v>0</v>
      </c>
      <c r="I101" s="30">
        <f>B$101/SUM($B$101:$C$101)</f>
        <v>0</v>
      </c>
      <c r="J101" s="30">
        <f>C$101/SUM($B$101:$C$101)</f>
        <v>1</v>
      </c>
      <c r="L101">
        <v>1</v>
      </c>
      <c r="M101">
        <f>L101+1</f>
        <v>2</v>
      </c>
      <c r="N101">
        <f>M101+1</f>
        <v>3</v>
      </c>
      <c r="O101">
        <f>N101+1</f>
        <v>4</v>
      </c>
    </row>
    <row r="102" spans="1:15" x14ac:dyDescent="0.25">
      <c r="A102" s="32" t="str">
        <f>A94</f>
        <v>TP</v>
      </c>
      <c r="B102" s="35">
        <f>INDEX($B$93:$B$96,MATCH(A102,$A$93:$A$96,0))</f>
        <v>271854657.31230479</v>
      </c>
      <c r="C102" s="35">
        <f>INDEX($C$93:$C$96,MATCH(A102,$A$93:$A$96,0))</f>
        <v>660354647.20961928</v>
      </c>
      <c r="D102" s="30">
        <f>SUM($B102:$C102)/SUM($B$101:$C$104)</f>
        <v>0.73114144513747459</v>
      </c>
      <c r="E102" t="str">
        <f>A102&amp;CHAR(10)&amp;"("&amp;TEXT(D102,"0%")&amp;")"</f>
        <v>TP
(73%)</v>
      </c>
      <c r="F102" s="34">
        <f>(SUM(D$101:D102)-SUM(D$101:D101))/2+SUM(D$101:D101)</f>
        <v>0.40035611882461219</v>
      </c>
      <c r="H102">
        <f>SUM($B$101:$C$101)/SUM($B$101:$C$104)*100</f>
        <v>3.4785396255874872</v>
      </c>
      <c r="I102" s="30">
        <f>I101</f>
        <v>0</v>
      </c>
      <c r="J102" s="30">
        <f>J101</f>
        <v>1</v>
      </c>
      <c r="K102" s="42"/>
      <c r="L102" s="41" t="str">
        <f>INDEX($E$101:$E$104,L101,0)</f>
        <v>KN
(3%)</v>
      </c>
      <c r="M102" s="40" t="str">
        <f>INDEX($E$101:$E$104,M101,0)</f>
        <v>TP
(73%)</v>
      </c>
      <c r="N102" s="40" t="str">
        <f>INDEX($E$101:$E$104,N101,0)</f>
        <v>HY
(3%)</v>
      </c>
      <c r="O102" s="39" t="str">
        <f>INDEX($E$101:$E$104,O101,0)</f>
        <v>TT
(20%)</v>
      </c>
    </row>
    <row r="103" spans="1:15" x14ac:dyDescent="0.25">
      <c r="A103" s="32" t="str">
        <f>A95</f>
        <v>HY</v>
      </c>
      <c r="B103" s="35">
        <f>INDEX($B$93:$B$96,MATCH(A103,$A$93:$A$96,0))</f>
        <v>40049882.991776012</v>
      </c>
      <c r="C103" s="35">
        <f>INDEX($C$93:$C$96,MATCH(A103,$A$93:$A$96,0))</f>
        <v>0</v>
      </c>
      <c r="D103" s="30">
        <f>SUM($B103:$C103)/SUM($B$101:$C$104)</f>
        <v>3.1411539432349887E-2</v>
      </c>
      <c r="E103" t="str">
        <f>A103&amp;CHAR(10)&amp;"("&amp;TEXT(D103,"0%")&amp;")"</f>
        <v>HY
(3%)</v>
      </c>
      <c r="F103" s="34">
        <f>(SUM(D$101:D103)-SUM(D$101:D102))/2+SUM(D$101:D102)</f>
        <v>0.78163261110952442</v>
      </c>
      <c r="H103">
        <f>H102</f>
        <v>3.4785396255874872</v>
      </c>
      <c r="I103" s="30">
        <f>B$102/SUM($B$102:$C$102)</f>
        <v>0.29162405480572118</v>
      </c>
      <c r="J103" s="30">
        <f>C$102/SUM($B$102:$C$102)</f>
        <v>0.70837594519427893</v>
      </c>
      <c r="L103" s="38">
        <v>1</v>
      </c>
      <c r="M103" s="37">
        <v>1</v>
      </c>
      <c r="N103" s="37">
        <v>1</v>
      </c>
      <c r="O103" s="36">
        <v>1</v>
      </c>
    </row>
    <row r="104" spans="1:15" x14ac:dyDescent="0.25">
      <c r="A104" s="32" t="str">
        <f>A96</f>
        <v>TT</v>
      </c>
      <c r="B104" s="35">
        <f>INDEX($B$93:$B$96,MATCH(A104,$A$93:$A$96,0))</f>
        <v>258394662.64730632</v>
      </c>
      <c r="C104" s="35">
        <f>INDEX($C$93:$C$96,MATCH(A104,$A$93:$A$96,0))</f>
        <v>0</v>
      </c>
      <c r="D104" s="30">
        <f>SUM($B104:$C104)/SUM($B$101:$C$104)</f>
        <v>0.20266161917430059</v>
      </c>
      <c r="E104" t="str">
        <f>A104&amp;CHAR(10)&amp;"("&amp;TEXT(D104,"0%")&amp;")"</f>
        <v>TT
(20%)</v>
      </c>
      <c r="F104" s="34">
        <f>(SUM(D$101:D104)-SUM(D$101:D103))/2+SUM(D$101:D103)</f>
        <v>0.89866919041284965</v>
      </c>
      <c r="H104">
        <f>SUM($B$102:$C$102)/SUM($B$101:$C$104)*100+H103</f>
        <v>76.592684139334949</v>
      </c>
      <c r="I104" s="30">
        <f>I103</f>
        <v>0.29162405480572118</v>
      </c>
      <c r="J104" s="30">
        <f>J103</f>
        <v>0.70837594519427893</v>
      </c>
      <c r="K104" s="42"/>
    </row>
    <row r="105" spans="1:15" x14ac:dyDescent="0.25">
      <c r="H105">
        <f>H104</f>
        <v>76.592684139334949</v>
      </c>
      <c r="I105" s="30">
        <f>B$103/SUM($B$103:$C$103)</f>
        <v>1</v>
      </c>
      <c r="J105" s="30">
        <f>C$103/SUM($B$103:$C$103)</f>
        <v>0</v>
      </c>
    </row>
    <row r="106" spans="1:15" x14ac:dyDescent="0.25">
      <c r="H106">
        <f>SUM($B$103:$C$103)/SUM($B$101:$C$104)*100+H105</f>
        <v>79.733838082569932</v>
      </c>
      <c r="I106" s="30">
        <f>I105</f>
        <v>1</v>
      </c>
      <c r="J106" s="30">
        <f>J105</f>
        <v>0</v>
      </c>
      <c r="K106" s="42"/>
      <c r="L106" s="33" t="s">
        <v>29</v>
      </c>
    </row>
    <row r="107" spans="1:15" x14ac:dyDescent="0.25">
      <c r="F107">
        <f>H108-H107</f>
        <v>20.266161917430054</v>
      </c>
      <c r="H107">
        <f>H106</f>
        <v>79.733838082569932</v>
      </c>
      <c r="I107" s="30">
        <f>B$104/SUM($B$104:$C$104)</f>
        <v>1</v>
      </c>
      <c r="J107" s="30">
        <f>C$104/SUM($B$104:$C$104)</f>
        <v>0</v>
      </c>
      <c r="L107">
        <v>1</v>
      </c>
      <c r="M107">
        <f>L107+1</f>
        <v>2</v>
      </c>
      <c r="N107">
        <f>M107+1</f>
        <v>3</v>
      </c>
      <c r="O107">
        <f>N107+1</f>
        <v>4</v>
      </c>
    </row>
    <row r="108" spans="1:15" x14ac:dyDescent="0.25">
      <c r="F108">
        <f>F107/2</f>
        <v>10.133080958715027</v>
      </c>
      <c r="H108">
        <f>SUM($B$104:$C$104)/SUM($B$101:$C$104)*100+H107</f>
        <v>99.999999999999986</v>
      </c>
      <c r="I108" s="30">
        <f>I107</f>
        <v>1</v>
      </c>
      <c r="J108" s="30">
        <f>J107</f>
        <v>0</v>
      </c>
      <c r="K108" s="42"/>
      <c r="L108" s="31">
        <f>INDEX($F$101:$F$104,L107,0)*100</f>
        <v>1.7392698127937436</v>
      </c>
      <c r="M108" s="31">
        <f>INDEX($F$101:$F$104,M107,0)*100</f>
        <v>40.035611882461218</v>
      </c>
      <c r="N108" s="31">
        <f>INDEX($F$101:$F$104,N107,0)*100</f>
        <v>78.163261110952448</v>
      </c>
      <c r="O108" s="31">
        <f>INDEX($F$101:$F$104,O107,0)*100</f>
        <v>89.866919041284959</v>
      </c>
    </row>
    <row r="109" spans="1:15" x14ac:dyDescent="0.25">
      <c r="F109" s="30">
        <f>F108+H107</f>
        <v>89.866919041284959</v>
      </c>
      <c r="H109" s="30"/>
      <c r="L109">
        <v>0</v>
      </c>
      <c r="M109">
        <v>0</v>
      </c>
      <c r="N109">
        <v>0</v>
      </c>
      <c r="O109">
        <v>0</v>
      </c>
    </row>
    <row r="116" spans="1:10" x14ac:dyDescent="0.25">
      <c r="A116" s="33" t="s">
        <v>39</v>
      </c>
    </row>
    <row r="118" spans="1:10" x14ac:dyDescent="0.25">
      <c r="A118" s="26" t="s">
        <v>27</v>
      </c>
      <c r="B118" s="28">
        <v>2022</v>
      </c>
    </row>
    <row r="119" spans="1:10" x14ac:dyDescent="0.25">
      <c r="A119" s="26" t="s">
        <v>38</v>
      </c>
      <c r="B119" t="s">
        <v>37</v>
      </c>
    </row>
    <row r="120" spans="1:10" x14ac:dyDescent="0.25">
      <c r="A120" s="26" t="s">
        <v>24</v>
      </c>
      <c r="B120" t="s">
        <v>23</v>
      </c>
    </row>
    <row r="121" spans="1:10" x14ac:dyDescent="0.25">
      <c r="A121" s="26" t="s">
        <v>26</v>
      </c>
      <c r="B121" t="s">
        <v>25</v>
      </c>
    </row>
    <row r="122" spans="1:10" x14ac:dyDescent="0.25">
      <c r="A122" s="26" t="s">
        <v>16</v>
      </c>
      <c r="B122" t="s">
        <v>10</v>
      </c>
    </row>
    <row r="123" spans="1:10" x14ac:dyDescent="0.25">
      <c r="B123" s="32"/>
      <c r="C123" s="32"/>
    </row>
    <row r="124" spans="1:10" x14ac:dyDescent="0.25">
      <c r="A124" s="26" t="s">
        <v>36</v>
      </c>
      <c r="B124" s="26" t="s">
        <v>14</v>
      </c>
    </row>
    <row r="125" spans="1:10" x14ac:dyDescent="0.25">
      <c r="A125" s="26" t="s">
        <v>15</v>
      </c>
      <c r="B125" t="s">
        <v>57</v>
      </c>
      <c r="C125" t="s">
        <v>58</v>
      </c>
      <c r="D125" t="s">
        <v>7</v>
      </c>
      <c r="E125" t="s">
        <v>59</v>
      </c>
      <c r="F125" t="s">
        <v>6</v>
      </c>
      <c r="G125" t="s">
        <v>60</v>
      </c>
      <c r="H125" t="s">
        <v>5</v>
      </c>
      <c r="I125" t="s">
        <v>4</v>
      </c>
      <c r="J125" t="s">
        <v>9</v>
      </c>
    </row>
    <row r="126" spans="1:10" x14ac:dyDescent="0.25">
      <c r="A126" t="s">
        <v>54</v>
      </c>
      <c r="B126" s="35">
        <v>-50239</v>
      </c>
      <c r="C126" s="35">
        <v>245651579.76190478</v>
      </c>
      <c r="D126" s="35"/>
      <c r="E126" s="35"/>
      <c r="F126" s="35">
        <v>0</v>
      </c>
      <c r="G126" s="35"/>
      <c r="H126" s="35"/>
      <c r="I126" s="35">
        <v>26253316.5504</v>
      </c>
      <c r="J126" s="35">
        <v>0</v>
      </c>
    </row>
    <row r="127" spans="1:10" x14ac:dyDescent="0.25">
      <c r="A127" t="s">
        <v>55</v>
      </c>
      <c r="B127" s="35">
        <v>8051423.0705293184</v>
      </c>
      <c r="C127" s="35">
        <v>2294130.592771085</v>
      </c>
      <c r="D127" s="35"/>
      <c r="E127" s="35">
        <v>1353166.4480181818</v>
      </c>
      <c r="F127" s="35">
        <v>20600041.7126</v>
      </c>
      <c r="G127" s="35"/>
      <c r="H127" s="35">
        <v>3023912.8957240963</v>
      </c>
      <c r="I127" s="35">
        <v>4727208.2721333327</v>
      </c>
      <c r="J127" s="35"/>
    </row>
    <row r="128" spans="1:10" x14ac:dyDescent="0.25">
      <c r="A128" t="s">
        <v>56</v>
      </c>
      <c r="B128" s="35">
        <v>30579715.722036928</v>
      </c>
      <c r="C128" s="35">
        <v>42942855.481072731</v>
      </c>
      <c r="D128" s="35">
        <v>1391717.7974444446</v>
      </c>
      <c r="E128" s="35">
        <v>155838620.33829883</v>
      </c>
      <c r="F128" s="35">
        <v>7327739.4056743393</v>
      </c>
      <c r="G128" s="35">
        <v>2312556.8742053751</v>
      </c>
      <c r="H128" s="35">
        <v>17621522.787766669</v>
      </c>
      <c r="I128" s="35">
        <v>379934.24080697674</v>
      </c>
      <c r="J128" s="35"/>
    </row>
    <row r="133" spans="1:20" x14ac:dyDescent="0.25">
      <c r="B133" s="32" t="str">
        <f t="shared" ref="B133:K133" si="3">B125</f>
        <v>01. Powdered Beverages</v>
      </c>
      <c r="C133" s="32" t="str">
        <f t="shared" si="3"/>
        <v>02. Nutrition Product</v>
      </c>
      <c r="D133" s="32" t="str">
        <f t="shared" si="3"/>
        <v>03. Snack</v>
      </c>
      <c r="E133" s="32" t="str">
        <f t="shared" si="3"/>
        <v>04. Milk products</v>
      </c>
      <c r="F133" s="32" t="str">
        <f t="shared" si="3"/>
        <v>06. Seasoning &amp; Sauce</v>
      </c>
      <c r="G133" s="32" t="str">
        <f t="shared" si="3"/>
        <v>07. Liquid beverages</v>
      </c>
      <c r="H133" s="32" t="str">
        <f t="shared" si="3"/>
        <v>08. Healthy Food</v>
      </c>
      <c r="I133" s="32" t="str">
        <f t="shared" si="3"/>
        <v>09. ETC</v>
      </c>
      <c r="J133" s="32" t="str">
        <f t="shared" si="3"/>
        <v>Semi FGs</v>
      </c>
      <c r="K133" s="32">
        <f t="shared" si="3"/>
        <v>0</v>
      </c>
      <c r="L133" s="33" t="s">
        <v>33</v>
      </c>
      <c r="M133" s="32" t="s">
        <v>32</v>
      </c>
      <c r="N133" s="32" t="s">
        <v>31</v>
      </c>
      <c r="Q133" s="33" t="s">
        <v>30</v>
      </c>
    </row>
    <row r="134" spans="1:20" x14ac:dyDescent="0.25">
      <c r="A134" s="32" t="str">
        <f>A126</f>
        <v>TP</v>
      </c>
      <c r="B134" s="35">
        <f t="shared" ref="B134:K136" si="4">IFERROR(IF(INDEX($B$126:$K$129,MATCH($A134,$A$126:$A$129,0),MATCH(B$133,$B$125:$K$125,0))&gt;0,INDEX($B$126:$K$129,MATCH($A134,$A$126:$A$129,0),MATCH(B$133,$B$125:$K$125,0)),0),0)</f>
        <v>0</v>
      </c>
      <c r="C134" s="35">
        <f t="shared" si="4"/>
        <v>245651579.76190478</v>
      </c>
      <c r="D134" s="35">
        <f t="shared" si="4"/>
        <v>0</v>
      </c>
      <c r="E134" s="35">
        <f t="shared" si="4"/>
        <v>0</v>
      </c>
      <c r="F134" s="35">
        <f t="shared" si="4"/>
        <v>0</v>
      </c>
      <c r="G134" s="35">
        <f t="shared" si="4"/>
        <v>0</v>
      </c>
      <c r="H134" s="35">
        <f t="shared" si="4"/>
        <v>0</v>
      </c>
      <c r="I134" s="35">
        <f t="shared" si="4"/>
        <v>26253316.5504</v>
      </c>
      <c r="J134" s="35">
        <f t="shared" si="4"/>
        <v>0</v>
      </c>
      <c r="K134" s="35">
        <f t="shared" si="4"/>
        <v>0</v>
      </c>
      <c r="L134" s="30">
        <f>SUM($B134:$K134)/SUM($B$134:$K$136)</f>
        <v>0.47673386929600992</v>
      </c>
      <c r="M134" t="str">
        <f>A134&amp;CHAR(10)&amp;"("&amp;TEXT(L134,"0%")&amp;")"</f>
        <v>TP
(48%)</v>
      </c>
      <c r="N134" s="34">
        <f>L134/2</f>
        <v>0.23836693464800496</v>
      </c>
      <c r="Q134">
        <v>1</v>
      </c>
      <c r="R134">
        <f>Q134+1</f>
        <v>2</v>
      </c>
      <c r="S134">
        <f>R134+1</f>
        <v>3</v>
      </c>
    </row>
    <row r="135" spans="1:20" x14ac:dyDescent="0.25">
      <c r="A135" s="32" t="str">
        <f>A127</f>
        <v>HY</v>
      </c>
      <c r="B135" s="35">
        <f t="shared" si="4"/>
        <v>8051423.0705293184</v>
      </c>
      <c r="C135" s="35">
        <f t="shared" si="4"/>
        <v>2294130.592771085</v>
      </c>
      <c r="D135" s="35">
        <f t="shared" si="4"/>
        <v>0</v>
      </c>
      <c r="E135" s="35">
        <f t="shared" si="4"/>
        <v>1353166.4480181818</v>
      </c>
      <c r="F135" s="35">
        <f t="shared" si="4"/>
        <v>20600041.7126</v>
      </c>
      <c r="G135" s="35">
        <f t="shared" si="4"/>
        <v>0</v>
      </c>
      <c r="H135" s="35">
        <f t="shared" si="4"/>
        <v>3023912.8957240963</v>
      </c>
      <c r="I135" s="35">
        <f t="shared" si="4"/>
        <v>4727208.2721333327</v>
      </c>
      <c r="J135" s="35">
        <f t="shared" si="4"/>
        <v>0</v>
      </c>
      <c r="K135" s="35">
        <f t="shared" si="4"/>
        <v>0</v>
      </c>
      <c r="L135" s="30">
        <f>SUM($B135:$K135)/SUM($B$134:$K$136)</f>
        <v>7.0219903879891243E-2</v>
      </c>
      <c r="M135" t="str">
        <f>A135&amp;CHAR(10)&amp;"("&amp;TEXT(L135,"0%")&amp;")"</f>
        <v>HY
(7%)</v>
      </c>
      <c r="N135" s="34">
        <f>(SUM(L$134:L135)-SUM(L$134:L134))/2+SUM(L$134:L134)</f>
        <v>0.51184382123595551</v>
      </c>
      <c r="Q135" s="41" t="str">
        <f>INDEX($M$134:$M$137,Q134,0)</f>
        <v>TP
(48%)</v>
      </c>
      <c r="R135" s="40" t="str">
        <f>INDEX($M$134:$M$137,R134,0)</f>
        <v>HY
(7%)</v>
      </c>
      <c r="S135" s="40" t="str">
        <f>INDEX($M$134:$M$137,S134,0)</f>
        <v>TT
(45%)</v>
      </c>
      <c r="T135" s="39"/>
    </row>
    <row r="136" spans="1:20" x14ac:dyDescent="0.25">
      <c r="A136" s="32" t="str">
        <f>A128</f>
        <v>TT</v>
      </c>
      <c r="B136" s="35">
        <f t="shared" si="4"/>
        <v>30579715.722036928</v>
      </c>
      <c r="C136" s="35">
        <f t="shared" si="4"/>
        <v>42942855.481072731</v>
      </c>
      <c r="D136" s="35">
        <f t="shared" si="4"/>
        <v>1391717.7974444446</v>
      </c>
      <c r="E136" s="35">
        <f t="shared" si="4"/>
        <v>155838620.33829883</v>
      </c>
      <c r="F136" s="35">
        <f t="shared" si="4"/>
        <v>7327739.4056743393</v>
      </c>
      <c r="G136" s="35">
        <f t="shared" si="4"/>
        <v>2312556.8742053751</v>
      </c>
      <c r="H136" s="35">
        <f t="shared" si="4"/>
        <v>17621522.787766669</v>
      </c>
      <c r="I136" s="35">
        <f t="shared" si="4"/>
        <v>379934.24080697674</v>
      </c>
      <c r="J136" s="35">
        <f t="shared" si="4"/>
        <v>0</v>
      </c>
      <c r="K136" s="35">
        <f t="shared" si="4"/>
        <v>0</v>
      </c>
      <c r="L136" s="30">
        <f>SUM($B136:$K136)/SUM($B$134:$K$136)</f>
        <v>0.45304622682409873</v>
      </c>
      <c r="M136" t="str">
        <f>A136&amp;CHAR(10)&amp;"("&amp;TEXT(L136,"0%")&amp;")"</f>
        <v>TT
(45%)</v>
      </c>
      <c r="N136" s="34">
        <f>(SUM(L$134:L136)-SUM(L$134:L135))/2+SUM(L$134:L135)</f>
        <v>0.77347688658795044</v>
      </c>
      <c r="Q136" s="38">
        <v>1</v>
      </c>
      <c r="R136" s="37">
        <v>1</v>
      </c>
      <c r="S136" s="37">
        <v>1</v>
      </c>
      <c r="T136" s="36"/>
    </row>
    <row r="137" spans="1:20" x14ac:dyDescent="0.25">
      <c r="A137" s="32"/>
      <c r="B137" s="35"/>
      <c r="C137" s="35"/>
      <c r="L137" s="30"/>
      <c r="N137" s="34"/>
    </row>
    <row r="139" spans="1:20" x14ac:dyDescent="0.25">
      <c r="Q139" s="33" t="s">
        <v>29</v>
      </c>
    </row>
    <row r="140" spans="1:20" x14ac:dyDescent="0.25">
      <c r="B140" s="32" t="str">
        <f t="shared" ref="B140:K140" si="5">B133</f>
        <v>01. Powdered Beverages</v>
      </c>
      <c r="C140" s="32" t="str">
        <f t="shared" si="5"/>
        <v>02. Nutrition Product</v>
      </c>
      <c r="D140" s="32" t="str">
        <f t="shared" si="5"/>
        <v>03. Snack</v>
      </c>
      <c r="E140" s="32" t="str">
        <f t="shared" si="5"/>
        <v>04. Milk products</v>
      </c>
      <c r="F140" s="32" t="str">
        <f t="shared" si="5"/>
        <v>06. Seasoning &amp; Sauce</v>
      </c>
      <c r="G140" s="32" t="str">
        <f t="shared" si="5"/>
        <v>07. Liquid beverages</v>
      </c>
      <c r="H140" s="32" t="str">
        <f t="shared" si="5"/>
        <v>08. Healthy Food</v>
      </c>
      <c r="I140" s="32" t="str">
        <f t="shared" si="5"/>
        <v>09. ETC</v>
      </c>
      <c r="J140" s="32" t="str">
        <f t="shared" si="5"/>
        <v>Semi FGs</v>
      </c>
      <c r="K140" s="32">
        <f t="shared" si="5"/>
        <v>0</v>
      </c>
      <c r="Q140">
        <v>1</v>
      </c>
      <c r="R140">
        <f>Q140+1</f>
        <v>2</v>
      </c>
      <c r="S140">
        <f>R140+1</f>
        <v>3</v>
      </c>
    </row>
    <row r="141" spans="1:20" x14ac:dyDescent="0.25">
      <c r="A141">
        <v>0</v>
      </c>
      <c r="B141" s="30">
        <f t="shared" ref="B141:K141" si="6">B$134/SUM($B$134:$K$134)</f>
        <v>0</v>
      </c>
      <c r="C141" s="30">
        <f t="shared" si="6"/>
        <v>0.90344669439035785</v>
      </c>
      <c r="D141" s="30">
        <f t="shared" si="6"/>
        <v>0</v>
      </c>
      <c r="E141" s="30">
        <f t="shared" si="6"/>
        <v>0</v>
      </c>
      <c r="F141" s="30">
        <f t="shared" si="6"/>
        <v>0</v>
      </c>
      <c r="G141" s="30">
        <f t="shared" si="6"/>
        <v>0</v>
      </c>
      <c r="H141" s="30">
        <f t="shared" si="6"/>
        <v>0</v>
      </c>
      <c r="I141" s="30">
        <f t="shared" si="6"/>
        <v>9.6553305609642051E-2</v>
      </c>
      <c r="J141" s="30">
        <f t="shared" si="6"/>
        <v>0</v>
      </c>
      <c r="K141" s="30">
        <f t="shared" si="6"/>
        <v>0</v>
      </c>
      <c r="Q141" s="31">
        <f>INDEX($N$134:$N$137,Q140,0)*100</f>
        <v>23.836693464800497</v>
      </c>
      <c r="R141" s="31">
        <f>INDEX($N$134:$N$137,R140,0)*100</f>
        <v>51.184382123595555</v>
      </c>
      <c r="S141" s="31">
        <f>INDEX($N$134:$N$137,S140,0)*100</f>
        <v>77.34768865879505</v>
      </c>
      <c r="T141" s="31"/>
    </row>
    <row r="142" spans="1:20" x14ac:dyDescent="0.25">
      <c r="A142">
        <f>SUM($B$134:$K$134)/SUM($B$134:$K$136)*100</f>
        <v>47.673386929600994</v>
      </c>
      <c r="B142" s="30">
        <f t="shared" ref="B142:K142" si="7">B141</f>
        <v>0</v>
      </c>
      <c r="C142" s="30">
        <f t="shared" si="7"/>
        <v>0.90344669439035785</v>
      </c>
      <c r="D142" s="30">
        <f t="shared" si="7"/>
        <v>0</v>
      </c>
      <c r="E142" s="30">
        <f t="shared" si="7"/>
        <v>0</v>
      </c>
      <c r="F142" s="30">
        <f t="shared" si="7"/>
        <v>0</v>
      </c>
      <c r="G142" s="30">
        <f t="shared" si="7"/>
        <v>0</v>
      </c>
      <c r="H142" s="30">
        <f t="shared" si="7"/>
        <v>0</v>
      </c>
      <c r="I142" s="30">
        <f t="shared" si="7"/>
        <v>9.6553305609642051E-2</v>
      </c>
      <c r="J142" s="30">
        <f t="shared" si="7"/>
        <v>0</v>
      </c>
      <c r="K142" s="30">
        <f t="shared" si="7"/>
        <v>0</v>
      </c>
      <c r="Q142">
        <v>0</v>
      </c>
      <c r="R142">
        <v>0</v>
      </c>
      <c r="S142">
        <v>0</v>
      </c>
    </row>
    <row r="143" spans="1:20" x14ac:dyDescent="0.25">
      <c r="A143">
        <f>A142</f>
        <v>47.673386929600994</v>
      </c>
      <c r="B143" s="30">
        <f t="shared" ref="B143:K143" si="8">B$135/SUM($B$135:$K$135)</f>
        <v>0.20103487124251088</v>
      </c>
      <c r="C143" s="30">
        <f t="shared" si="8"/>
        <v>5.7281830092791274E-2</v>
      </c>
      <c r="D143" s="30">
        <f t="shared" si="8"/>
        <v>0</v>
      </c>
      <c r="E143" s="30">
        <f t="shared" si="8"/>
        <v>3.3787026251638382E-2</v>
      </c>
      <c r="F143" s="30">
        <f t="shared" si="8"/>
        <v>0.51435959792516961</v>
      </c>
      <c r="G143" s="30">
        <f t="shared" si="8"/>
        <v>0</v>
      </c>
      <c r="H143" s="30">
        <f t="shared" si="8"/>
        <v>7.5503663677245619E-2</v>
      </c>
      <c r="I143" s="30">
        <f t="shared" si="8"/>
        <v>0.11803301081064416</v>
      </c>
      <c r="J143" s="30">
        <f t="shared" si="8"/>
        <v>0</v>
      </c>
      <c r="K143" s="30">
        <f t="shared" si="8"/>
        <v>0</v>
      </c>
    </row>
    <row r="144" spans="1:20" x14ac:dyDescent="0.25">
      <c r="A144">
        <f>SUM($B$135:$K$135)/SUM($B$134:$K$136)*100+A143</f>
        <v>54.695377317590115</v>
      </c>
      <c r="B144" s="30">
        <f t="shared" ref="B144:K144" si="9">B143</f>
        <v>0.20103487124251088</v>
      </c>
      <c r="C144" s="30">
        <f t="shared" si="9"/>
        <v>5.7281830092791274E-2</v>
      </c>
      <c r="D144" s="30">
        <f t="shared" si="9"/>
        <v>0</v>
      </c>
      <c r="E144" s="30">
        <f t="shared" si="9"/>
        <v>3.3787026251638382E-2</v>
      </c>
      <c r="F144" s="30">
        <f t="shared" si="9"/>
        <v>0.51435959792516961</v>
      </c>
      <c r="G144" s="30">
        <f t="shared" si="9"/>
        <v>0</v>
      </c>
      <c r="H144" s="30">
        <f t="shared" si="9"/>
        <v>7.5503663677245619E-2</v>
      </c>
      <c r="I144" s="30">
        <f t="shared" si="9"/>
        <v>0.11803301081064416</v>
      </c>
      <c r="J144" s="30">
        <f t="shared" si="9"/>
        <v>0</v>
      </c>
      <c r="K144" s="30">
        <f t="shared" si="9"/>
        <v>0</v>
      </c>
    </row>
    <row r="145" spans="1:11" x14ac:dyDescent="0.25">
      <c r="A145">
        <f>A144</f>
        <v>54.695377317590115</v>
      </c>
      <c r="B145" s="30">
        <f t="shared" ref="B145:K145" si="10">B$136/SUM($B$136:$K$136)</f>
        <v>0.11834499756589967</v>
      </c>
      <c r="C145" s="30">
        <f t="shared" si="10"/>
        <v>0.16619095395049718</v>
      </c>
      <c r="D145" s="30">
        <f t="shared" si="10"/>
        <v>5.3860160391318093E-3</v>
      </c>
      <c r="E145" s="30">
        <f t="shared" si="10"/>
        <v>0.60310309331353906</v>
      </c>
      <c r="F145" s="30">
        <f t="shared" si="10"/>
        <v>2.8358710395176692E-2</v>
      </c>
      <c r="G145" s="30">
        <f t="shared" si="10"/>
        <v>8.9497083667005959E-3</v>
      </c>
      <c r="H145" s="30">
        <f t="shared" si="10"/>
        <v>6.8196156248858067E-2</v>
      </c>
      <c r="I145" s="30">
        <f t="shared" si="10"/>
        <v>1.4703641201968824E-3</v>
      </c>
      <c r="J145" s="30">
        <f t="shared" si="10"/>
        <v>0</v>
      </c>
      <c r="K145" s="30">
        <f t="shared" si="10"/>
        <v>0</v>
      </c>
    </row>
    <row r="146" spans="1:11" x14ac:dyDescent="0.25">
      <c r="A146">
        <f>SUM($B$136:$K$136)/SUM($B$134:$K$136)*100+A145</f>
        <v>99.999999999999986</v>
      </c>
      <c r="B146" s="30">
        <f t="shared" ref="B146:K146" si="11">B145</f>
        <v>0.11834499756589967</v>
      </c>
      <c r="C146" s="30">
        <f t="shared" si="11"/>
        <v>0.16619095395049718</v>
      </c>
      <c r="D146" s="30">
        <f t="shared" si="11"/>
        <v>5.3860160391318093E-3</v>
      </c>
      <c r="E146" s="30">
        <f t="shared" si="11"/>
        <v>0.60310309331353906</v>
      </c>
      <c r="F146" s="30">
        <f t="shared" si="11"/>
        <v>2.8358710395176692E-2</v>
      </c>
      <c r="G146" s="30">
        <f t="shared" si="11"/>
        <v>8.9497083667005959E-3</v>
      </c>
      <c r="H146" s="30">
        <f t="shared" si="11"/>
        <v>6.8196156248858067E-2</v>
      </c>
      <c r="I146" s="30">
        <f t="shared" si="11"/>
        <v>1.4703641201968824E-3</v>
      </c>
      <c r="J146" s="30">
        <f t="shared" si="11"/>
        <v>0</v>
      </c>
      <c r="K146" s="30">
        <f t="shared" si="11"/>
        <v>0</v>
      </c>
    </row>
    <row r="152" spans="1:11" x14ac:dyDescent="0.25">
      <c r="A152" s="33" t="s">
        <v>39</v>
      </c>
    </row>
    <row r="154" spans="1:11" x14ac:dyDescent="0.25">
      <c r="A154" s="26" t="s">
        <v>27</v>
      </c>
      <c r="B154" s="28">
        <v>2022</v>
      </c>
    </row>
    <row r="155" spans="1:11" x14ac:dyDescent="0.25">
      <c r="A155" s="26" t="s">
        <v>38</v>
      </c>
      <c r="B155" t="s">
        <v>37</v>
      </c>
    </row>
    <row r="156" spans="1:11" x14ac:dyDescent="0.25">
      <c r="A156" s="26" t="s">
        <v>24</v>
      </c>
      <c r="B156" t="s">
        <v>23</v>
      </c>
    </row>
    <row r="157" spans="1:11" x14ac:dyDescent="0.25">
      <c r="A157" s="26" t="s">
        <v>26</v>
      </c>
      <c r="B157" t="s">
        <v>25</v>
      </c>
    </row>
    <row r="158" spans="1:11" x14ac:dyDescent="0.25">
      <c r="A158" s="26" t="s">
        <v>16</v>
      </c>
      <c r="B158" t="s">
        <v>0</v>
      </c>
    </row>
    <row r="159" spans="1:11" x14ac:dyDescent="0.25">
      <c r="B159" s="32"/>
      <c r="C159" s="32"/>
    </row>
    <row r="160" spans="1:11" x14ac:dyDescent="0.25">
      <c r="A160" s="26" t="s">
        <v>36</v>
      </c>
      <c r="B160" s="26" t="s">
        <v>35</v>
      </c>
    </row>
    <row r="161" spans="1:20" x14ac:dyDescent="0.25">
      <c r="A161" s="26" t="s">
        <v>15</v>
      </c>
      <c r="B161" t="s">
        <v>3</v>
      </c>
      <c r="C161" t="s">
        <v>34</v>
      </c>
    </row>
    <row r="162" spans="1:20" x14ac:dyDescent="0.25">
      <c r="A162" t="s">
        <v>53</v>
      </c>
      <c r="B162" s="35">
        <v>44351568.724313587</v>
      </c>
      <c r="C162" s="35"/>
    </row>
    <row r="163" spans="1:20" x14ac:dyDescent="0.25">
      <c r="A163" t="s">
        <v>54</v>
      </c>
      <c r="B163" s="35">
        <v>491873149.51446724</v>
      </c>
      <c r="C163" s="35">
        <v>168481497.6951521</v>
      </c>
    </row>
    <row r="169" spans="1:20" x14ac:dyDescent="0.25">
      <c r="B169" s="32" t="str">
        <f>B161</f>
        <v>Raw</v>
      </c>
      <c r="C169" s="32" t="str">
        <f>C161</f>
        <v>Inner Packaging</v>
      </c>
      <c r="D169" s="32">
        <f>D161</f>
        <v>0</v>
      </c>
      <c r="E169" s="32">
        <f>E161</f>
        <v>0</v>
      </c>
      <c r="F169" s="32">
        <f>F161</f>
        <v>0</v>
      </c>
      <c r="G169" s="33" t="s">
        <v>33</v>
      </c>
      <c r="H169" s="32" t="s">
        <v>32</v>
      </c>
      <c r="I169" s="32" t="s">
        <v>31</v>
      </c>
      <c r="J169" s="32"/>
      <c r="K169" s="32"/>
      <c r="Q169" s="33" t="s">
        <v>30</v>
      </c>
    </row>
    <row r="170" spans="1:20" x14ac:dyDescent="0.25">
      <c r="A170" s="32" t="str">
        <f>A162</f>
        <v>KN</v>
      </c>
      <c r="B170" s="35">
        <f t="shared" ref="B170:F171" si="12">IFERROR(IF(INDEX($B$162:$F$163,MATCH($A170,$A$162:$A$163,0),MATCH(B$169,$B$161:$F$161,0))&gt;0,INDEX($B$162:$F$163,MATCH($A170,$A$162:$A$163,0),MATCH(B$169,$B$161:$F$161,0)),0),0)</f>
        <v>44351568.724313587</v>
      </c>
      <c r="C170" s="35">
        <f t="shared" si="12"/>
        <v>0</v>
      </c>
      <c r="D170" s="35">
        <f t="shared" si="12"/>
        <v>0</v>
      </c>
      <c r="E170" s="35">
        <f t="shared" si="12"/>
        <v>0</v>
      </c>
      <c r="F170" s="35">
        <f t="shared" si="12"/>
        <v>0</v>
      </c>
      <c r="G170" s="30">
        <f>SUM($B170:$F170)/SUM($B$170:$F$171)</f>
        <v>6.2936253039197823E-2</v>
      </c>
      <c r="H170" t="str">
        <f>A170&amp;CHAR(10)&amp;"("&amp;TEXT(G170,"0%")&amp;")"</f>
        <v>KN
(6%)</v>
      </c>
      <c r="I170" s="34">
        <f>G170/2</f>
        <v>3.1468126519598912E-2</v>
      </c>
      <c r="J170" s="35"/>
      <c r="K170" s="35"/>
      <c r="Q170">
        <v>1</v>
      </c>
      <c r="R170">
        <f>Q170+1</f>
        <v>2</v>
      </c>
    </row>
    <row r="171" spans="1:20" x14ac:dyDescent="0.25">
      <c r="A171" s="32" t="str">
        <f>A163</f>
        <v>TP</v>
      </c>
      <c r="B171" s="35">
        <f t="shared" si="12"/>
        <v>491873149.51446724</v>
      </c>
      <c r="C171" s="35">
        <f t="shared" si="12"/>
        <v>168481497.6951521</v>
      </c>
      <c r="D171" s="35">
        <f t="shared" si="12"/>
        <v>0</v>
      </c>
      <c r="E171" s="35">
        <f t="shared" si="12"/>
        <v>0</v>
      </c>
      <c r="F171" s="35">
        <f t="shared" si="12"/>
        <v>0</v>
      </c>
      <c r="G171" s="30">
        <f>SUM($B171:$F171)/SUM($B$170:$F$171)</f>
        <v>0.93706374696080197</v>
      </c>
      <c r="H171" t="str">
        <f>A171&amp;CHAR(10)&amp;"("&amp;TEXT(G171,"0%")&amp;")"</f>
        <v>TP
(94%)</v>
      </c>
      <c r="I171" s="34">
        <f>(SUM(G$170:G171)-SUM(G$170:G170))/2+SUM(G$170:G170)</f>
        <v>0.53146812651959885</v>
      </c>
      <c r="J171" s="35"/>
      <c r="K171" s="35"/>
      <c r="Q171" s="41" t="str">
        <f>INDEX($H$170:$H$173,Q170,0)</f>
        <v>KN
(6%)</v>
      </c>
      <c r="R171" s="40" t="str">
        <f>INDEX($H$170:$H$173,R170,0)</f>
        <v>TP
(94%)</v>
      </c>
      <c r="S171" s="40"/>
      <c r="T171" s="39"/>
    </row>
    <row r="172" spans="1:20" x14ac:dyDescent="0.25">
      <c r="A172" s="32"/>
      <c r="B172" s="35"/>
      <c r="C172" s="35"/>
      <c r="D172" s="35"/>
      <c r="E172" s="35"/>
      <c r="F172" s="35"/>
      <c r="G172" s="30"/>
      <c r="I172" s="34"/>
      <c r="J172" s="35"/>
      <c r="K172" s="35"/>
      <c r="Q172" s="38">
        <v>1</v>
      </c>
      <c r="R172" s="37">
        <v>1</v>
      </c>
      <c r="S172" s="37"/>
      <c r="T172" s="36"/>
    </row>
    <row r="173" spans="1:20" x14ac:dyDescent="0.25">
      <c r="A173" s="32"/>
      <c r="B173" s="35"/>
      <c r="C173" s="35"/>
      <c r="L173" s="30"/>
      <c r="N173" s="34"/>
    </row>
    <row r="175" spans="1:20" x14ac:dyDescent="0.25">
      <c r="Q175" s="33" t="s">
        <v>29</v>
      </c>
    </row>
    <row r="176" spans="1:20" x14ac:dyDescent="0.25">
      <c r="B176" s="32" t="str">
        <f>B169</f>
        <v>Raw</v>
      </c>
      <c r="C176" s="32" t="str">
        <f>C169</f>
        <v>Inner Packaging</v>
      </c>
      <c r="D176" s="32">
        <f>D169</f>
        <v>0</v>
      </c>
      <c r="E176" s="32">
        <f>E169</f>
        <v>0</v>
      </c>
      <c r="F176" s="32">
        <f>F169</f>
        <v>0</v>
      </c>
      <c r="G176" s="32"/>
      <c r="H176" s="32"/>
      <c r="I176" s="32"/>
      <c r="J176" s="32"/>
      <c r="K176" s="32"/>
      <c r="Q176">
        <v>1</v>
      </c>
      <c r="R176">
        <f>Q176+1</f>
        <v>2</v>
      </c>
      <c r="S176">
        <f>R176+1</f>
        <v>3</v>
      </c>
    </row>
    <row r="177" spans="1:20" x14ac:dyDescent="0.25">
      <c r="A177">
        <v>0</v>
      </c>
      <c r="B177" s="30">
        <f>B$170/SUM($B$170:$F$170)</f>
        <v>1</v>
      </c>
      <c r="C177" s="30">
        <f>C$170/SUM($B$170:$F$170)</f>
        <v>0</v>
      </c>
      <c r="D177" s="30">
        <f>D$170/SUM($B$170:$F$170)</f>
        <v>0</v>
      </c>
      <c r="E177" s="30">
        <f>E$170/SUM($B$170:$F$170)</f>
        <v>0</v>
      </c>
      <c r="F177" s="30">
        <f>F$170/SUM($B$170:$F$170)</f>
        <v>0</v>
      </c>
      <c r="G177" s="30"/>
      <c r="H177" s="30"/>
      <c r="I177" s="30"/>
      <c r="J177" s="30"/>
      <c r="K177" s="30"/>
      <c r="Q177" s="31">
        <f>INDEX($I$170:$I$173,Q176,0)*100</f>
        <v>3.1468126519598911</v>
      </c>
      <c r="R177" s="31">
        <f>INDEX($I$170:$I$173,R176,0)*100</f>
        <v>53.146812651959884</v>
      </c>
      <c r="S177" s="31">
        <f>INDEX($I$170:$I$173,S176,0)*100</f>
        <v>0</v>
      </c>
      <c r="T177" s="31"/>
    </row>
    <row r="178" spans="1:20" x14ac:dyDescent="0.25">
      <c r="A178">
        <f>SUM($B$170:$F$170)/SUM($B$170:$F$171)*100</f>
        <v>6.2936253039197823</v>
      </c>
      <c r="B178" s="30">
        <f>B177</f>
        <v>1</v>
      </c>
      <c r="C178" s="30">
        <f>C177</f>
        <v>0</v>
      </c>
      <c r="D178" s="30">
        <f>D177</f>
        <v>0</v>
      </c>
      <c r="E178" s="30">
        <f>E177</f>
        <v>0</v>
      </c>
      <c r="F178" s="30">
        <f>F177</f>
        <v>0</v>
      </c>
      <c r="G178" s="30"/>
      <c r="H178" s="30"/>
      <c r="I178" s="30"/>
      <c r="J178" s="30"/>
      <c r="K178" s="30"/>
      <c r="Q178">
        <v>0</v>
      </c>
      <c r="R178">
        <v>0</v>
      </c>
      <c r="S178">
        <v>0</v>
      </c>
    </row>
    <row r="179" spans="1:20" x14ac:dyDescent="0.25">
      <c r="A179">
        <f>A178</f>
        <v>6.2936253039197823</v>
      </c>
      <c r="B179" s="30">
        <f>B$171/SUM($B$171:$F$171)</f>
        <v>0.74486210037729894</v>
      </c>
      <c r="C179" s="30">
        <f>C$171/SUM($B$171:$F$171)</f>
        <v>0.25513789962270117</v>
      </c>
      <c r="D179" s="30">
        <f>D$171/SUM($B$171:$F$171)</f>
        <v>0</v>
      </c>
      <c r="E179" s="30">
        <f>E$171/SUM($B$171:$F$171)</f>
        <v>0</v>
      </c>
      <c r="F179" s="30">
        <f>F$171/SUM($B$171:$F$171)</f>
        <v>0</v>
      </c>
      <c r="G179" s="30"/>
      <c r="H179" s="30"/>
      <c r="I179" s="30"/>
      <c r="J179" s="30"/>
      <c r="K179" s="30"/>
    </row>
    <row r="180" spans="1:20" x14ac:dyDescent="0.25">
      <c r="A180">
        <f>SUM($B$171:$F$171)/SUM($B$170:$F$171)*100+A179</f>
        <v>99.999999999999986</v>
      </c>
      <c r="B180" s="30">
        <f>B179</f>
        <v>0.74486210037729894</v>
      </c>
      <c r="C180" s="30">
        <f>C179</f>
        <v>0.25513789962270117</v>
      </c>
      <c r="D180" s="30">
        <f>D179</f>
        <v>0</v>
      </c>
      <c r="E180" s="30">
        <f>E179</f>
        <v>0</v>
      </c>
      <c r="F180" s="30">
        <f>F179</f>
        <v>0</v>
      </c>
      <c r="G180" s="30"/>
      <c r="H180" s="30"/>
      <c r="I180" s="30"/>
      <c r="J180" s="30"/>
      <c r="K180" s="30"/>
    </row>
    <row r="181" spans="1:20" x14ac:dyDescent="0.25">
      <c r="B181" s="30"/>
      <c r="C181" s="30"/>
      <c r="D181" s="30"/>
      <c r="E181" s="30"/>
      <c r="F181" s="30"/>
      <c r="G181" s="30"/>
      <c r="H181" s="30"/>
      <c r="I181" s="30"/>
      <c r="J181" s="30"/>
      <c r="K181" s="30"/>
    </row>
    <row r="182" spans="1:20" x14ac:dyDescent="0.25">
      <c r="B182" s="30"/>
      <c r="C182" s="30"/>
      <c r="D182" s="30"/>
      <c r="E182" s="30"/>
      <c r="F182" s="30"/>
      <c r="G182" s="30"/>
      <c r="H182" s="30"/>
      <c r="I182" s="30"/>
      <c r="J182" s="30"/>
      <c r="K182" s="30"/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- YTD Value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lengocphuongtrinh</dc:creator>
  <cp:lastModifiedBy>lengocphuongtrinh</cp:lastModifiedBy>
  <dcterms:created xsi:type="dcterms:W3CDTF">2022-06-08T14:48:49Z</dcterms:created>
  <dcterms:modified xsi:type="dcterms:W3CDTF">2022-06-08T18:27:04Z</dcterms:modified>
</cp:coreProperties>
</file>